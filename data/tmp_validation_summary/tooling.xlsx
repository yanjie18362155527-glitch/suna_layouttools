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\\172.16.6.19\Tooling_8A\!!Non-dram\350MCSB3V100V\MCLJR(PP1X-002A-1P2M;SUNA)\"/>
    </mc:Choice>
  </mc:AlternateContent>
  <bookViews>
    <workbookView xWindow="0" yWindow="0" windowWidth="28800" windowHeight="12255" tabRatio="750" activeTab="2"/>
  </bookViews>
  <sheets>
    <sheet name="History" sheetId="1" r:id="rId1"/>
    <sheet name="Note" sheetId="78" r:id="rId2"/>
    <sheet name="tooling" sheetId="3" r:id="rId3"/>
    <sheet name="floorplan" sheetId="8" r:id="rId4"/>
    <sheet name="floorplan2" sheetId="9" r:id="rId5"/>
    <sheet name="process" sheetId="10" r:id="rId6"/>
    <sheet name="cdbar_p" sheetId="11" r:id="rId7"/>
    <sheet name="reg_p" sheetId="12" r:id="rId8"/>
    <sheet name="photo" sheetId="14" r:id="rId9"/>
    <sheet name="photo2" sheetId="15" r:id="rId10"/>
  </sheets>
  <calcPr calcId="162913"/>
</workbook>
</file>

<file path=xl/calcChain.xml><?xml version="1.0" encoding="utf-8"?>
<calcChain xmlns="http://schemas.openxmlformats.org/spreadsheetml/2006/main">
  <c r="EV4" i="3" l="1"/>
  <c r="EU2" i="3" s="1"/>
  <c r="EV3" i="3"/>
  <c r="EU1" i="3" s="1"/>
  <c r="ES4" i="3"/>
  <c r="ES3" i="3"/>
  <c r="ER2" i="3"/>
  <c r="ER1" i="3"/>
  <c r="EP4" i="3"/>
  <c r="EO2" i="3" s="1"/>
  <c r="EP3" i="3"/>
  <c r="EO1" i="3" s="1"/>
  <c r="EM4" i="3"/>
  <c r="EL2" i="3" s="1"/>
  <c r="EM3" i="3"/>
  <c r="EL1" i="3" s="1"/>
  <c r="EJ4" i="3"/>
  <c r="EI2" i="3" s="1"/>
  <c r="EJ3" i="3"/>
  <c r="EI1" i="3" s="1"/>
  <c r="EG4" i="3"/>
  <c r="EF2" i="3" s="1"/>
  <c r="EG3" i="3"/>
  <c r="EF1" i="3" s="1"/>
  <c r="ED4" i="3"/>
  <c r="EC2" i="3" s="1"/>
  <c r="ED3" i="3"/>
  <c r="EC1" i="3" s="1"/>
  <c r="EA4" i="3"/>
  <c r="DZ2" i="3" s="1"/>
  <c r="EA3" i="3"/>
  <c r="DZ1" i="3" s="1"/>
  <c r="DX4" i="3"/>
  <c r="DW2" i="3" s="1"/>
  <c r="DX3" i="3"/>
  <c r="DW1" i="3" s="1"/>
  <c r="DU4" i="3"/>
  <c r="DT2" i="3" s="1"/>
  <c r="DU3" i="3"/>
  <c r="DT1" i="3" s="1"/>
  <c r="DR4" i="3"/>
  <c r="DQ2" i="3" s="1"/>
  <c r="DR3" i="3"/>
  <c r="DQ1" i="3" s="1"/>
  <c r="DO4" i="3"/>
  <c r="DN2" i="3" s="1"/>
  <c r="DO3" i="3"/>
  <c r="DN1" i="3" s="1"/>
  <c r="DL4" i="3"/>
  <c r="DK2" i="3" s="1"/>
  <c r="DL3" i="3"/>
  <c r="DK1" i="3" s="1"/>
  <c r="DI4" i="3"/>
  <c r="DH2" i="3" s="1"/>
  <c r="DI3" i="3"/>
  <c r="DH1" i="3" s="1"/>
  <c r="DF4" i="3"/>
  <c r="DE2" i="3" s="1"/>
  <c r="DF3" i="3"/>
  <c r="DE1" i="3" s="1"/>
  <c r="DC4" i="3"/>
  <c r="DB2" i="3" s="1"/>
  <c r="DC3" i="3"/>
  <c r="DB1" i="3" s="1"/>
  <c r="CZ4" i="3"/>
  <c r="CZ3" i="3"/>
  <c r="CY2" i="3"/>
  <c r="CY1" i="3"/>
  <c r="CW4" i="3"/>
  <c r="CV2" i="3" s="1"/>
  <c r="CW3" i="3"/>
  <c r="CV1" i="3" s="1"/>
  <c r="CT4" i="3"/>
  <c r="CS2" i="3" s="1"/>
  <c r="CT3" i="3"/>
  <c r="CS1" i="3" s="1"/>
  <c r="CQ4" i="3"/>
  <c r="CP2" i="3" s="1"/>
  <c r="CQ3" i="3"/>
  <c r="CP1" i="3" s="1"/>
  <c r="CN4" i="3"/>
  <c r="CN3" i="3"/>
  <c r="CM1" i="3" s="1"/>
  <c r="CM2" i="3"/>
  <c r="CK4" i="3"/>
  <c r="CJ2" i="3" s="1"/>
  <c r="CK3" i="3"/>
  <c r="CJ1" i="3" s="1"/>
  <c r="CH4" i="3"/>
  <c r="CG2" i="3" s="1"/>
  <c r="CH3" i="3"/>
  <c r="CG1" i="3" s="1"/>
  <c r="CE4" i="3"/>
  <c r="CD2" i="3" s="1"/>
  <c r="CE3" i="3"/>
  <c r="CD1" i="3" s="1"/>
  <c r="CB4" i="3"/>
  <c r="CA2" i="3" s="1"/>
  <c r="CB3" i="3"/>
  <c r="CA1" i="3" s="1"/>
  <c r="BY4" i="3"/>
  <c r="BX2" i="3" s="1"/>
  <c r="BY3" i="3"/>
  <c r="BX1" i="3" s="1"/>
  <c r="BV4" i="3"/>
  <c r="BU2" i="3" s="1"/>
  <c r="BV3" i="3"/>
  <c r="BU1" i="3" s="1"/>
  <c r="BS4" i="3"/>
  <c r="BR2" i="3" s="1"/>
  <c r="BS3" i="3"/>
  <c r="BR1" i="3" s="1"/>
  <c r="BP4" i="3"/>
  <c r="BO2" i="3" s="1"/>
  <c r="BP3" i="3"/>
  <c r="BO1" i="3" s="1"/>
  <c r="BM4" i="3"/>
  <c r="BL2" i="3" s="1"/>
  <c r="BM3" i="3"/>
  <c r="BL1" i="3" s="1"/>
  <c r="BJ4" i="3"/>
  <c r="BI2" i="3" s="1"/>
  <c r="BJ3" i="3"/>
  <c r="BI1" i="3" s="1"/>
  <c r="BG4" i="3"/>
  <c r="BF2" i="3" s="1"/>
  <c r="BG3" i="3"/>
  <c r="BF1" i="3"/>
  <c r="BD4" i="3"/>
  <c r="BC2" i="3" s="1"/>
  <c r="BD3" i="3"/>
  <c r="BC1" i="3" s="1"/>
  <c r="BA4" i="3"/>
  <c r="AZ2" i="3" s="1"/>
  <c r="BA3" i="3"/>
  <c r="AZ1" i="3" s="1"/>
  <c r="AX4" i="3"/>
  <c r="AX3" i="3"/>
  <c r="AW1" i="3" s="1"/>
  <c r="AW2" i="3"/>
  <c r="AU4" i="3"/>
  <c r="AT2" i="3" s="1"/>
  <c r="AU3" i="3"/>
  <c r="AT1" i="3" s="1"/>
  <c r="AR4" i="3"/>
  <c r="AQ2" i="3" s="1"/>
  <c r="AR3" i="3"/>
  <c r="AQ1" i="3" s="1"/>
  <c r="AO4" i="3"/>
  <c r="AN2" i="3" s="1"/>
  <c r="AO3" i="3"/>
  <c r="AN1" i="3" s="1"/>
  <c r="AL4" i="3"/>
  <c r="AK2" i="3" s="1"/>
  <c r="AL3" i="3"/>
  <c r="AK1" i="3" s="1"/>
  <c r="AI4" i="3"/>
  <c r="AH2" i="3" s="1"/>
  <c r="AI3" i="3"/>
  <c r="AH1" i="3" s="1"/>
  <c r="AF4" i="3" l="1"/>
  <c r="AF3" i="3"/>
  <c r="M25" i="9" l="1"/>
  <c r="M24" i="9"/>
  <c r="M23" i="9"/>
  <c r="M22" i="9"/>
  <c r="I25" i="9"/>
  <c r="I24" i="9"/>
  <c r="I23" i="9"/>
  <c r="I22" i="9"/>
  <c r="E25" i="9"/>
  <c r="E24" i="9"/>
  <c r="E23" i="9"/>
  <c r="E22" i="9"/>
  <c r="A2" i="1"/>
  <c r="G7" i="9"/>
  <c r="C7" i="9"/>
</calcChain>
</file>

<file path=xl/comments1.xml><?xml version="1.0" encoding="utf-8"?>
<comments xmlns="http://schemas.openxmlformats.org/spreadsheetml/2006/main">
  <authors>
    <author>電腦輔助設計部 - 陳秀雲</author>
  </authors>
  <commentList>
    <comment ref="G4" authorId="0" shapeId="0">
      <text>
        <r>
          <rPr>
            <b/>
            <sz val="12"/>
            <color indexed="81"/>
            <rFont val="微軟正黑體"/>
            <family val="2"/>
            <charset val="136"/>
          </rPr>
          <t>CAD Platform's Form No. 
RD1.0' Form No.</t>
        </r>
      </text>
    </comment>
  </commentList>
</comments>
</file>

<file path=xl/comments2.xml><?xml version="1.0" encoding="utf-8"?>
<comments xmlns="http://schemas.openxmlformats.org/spreadsheetml/2006/main">
  <authors>
    <author>vernesia</author>
    <author>設計服務一部 - 陳秀雲</author>
  </authors>
  <commentList>
    <comment ref="N16" authorId="0" shapeId="0">
      <text>
        <r>
          <rPr>
            <b/>
            <sz val="14"/>
            <color indexed="10"/>
            <rFont val="Comic Sans MS"/>
            <family val="4"/>
          </rPr>
          <t>Shuttle or MLM or Array</t>
        </r>
      </text>
    </comment>
    <comment ref="AC29" authorId="1" shapeId="0">
      <text>
        <r>
          <rPr>
            <b/>
            <sz val="14"/>
            <color indexed="81"/>
            <rFont val="Arial"/>
            <family val="2"/>
          </rPr>
          <t>2X LBC.value
MLM: default "-"</t>
        </r>
      </text>
    </comment>
    <comment ref="AC32" authorId="1" shapeId="0">
      <text>
        <r>
          <rPr>
            <b/>
            <sz val="14"/>
            <color indexed="81"/>
            <rFont val="Arial"/>
            <family val="2"/>
          </rPr>
          <t xml:space="preserve">Field shift : 
default --&gt;0 ,
MLM </t>
        </r>
        <r>
          <rPr>
            <b/>
            <sz val="14"/>
            <color indexed="81"/>
            <rFont val="細明體"/>
            <family val="3"/>
            <charset val="136"/>
          </rPr>
          <t>則填實際值</t>
        </r>
      </text>
    </comment>
  </commentList>
</comments>
</file>

<file path=xl/sharedStrings.xml><?xml version="1.0" encoding="utf-8"?>
<sst xmlns="http://schemas.openxmlformats.org/spreadsheetml/2006/main" count="2371" uniqueCount="422">
  <si>
    <t>Layer No.                                              (bias per side)</t>
  </si>
  <si>
    <t>X</t>
    <phoneticPr fontId="8" type="noConversion"/>
  </si>
  <si>
    <t>x</t>
  </si>
  <si>
    <t>cell name</t>
    <phoneticPr fontId="8" type="noConversion"/>
  </si>
  <si>
    <t>Y</t>
    <phoneticPr fontId="8" type="noConversion"/>
  </si>
  <si>
    <t>R</t>
    <phoneticPr fontId="8" type="noConversion"/>
  </si>
  <si>
    <t>XLB</t>
    <phoneticPr fontId="8" type="noConversion"/>
  </si>
  <si>
    <t>YLB</t>
    <phoneticPr fontId="8" type="noConversion"/>
  </si>
  <si>
    <t>XRT</t>
    <phoneticPr fontId="8" type="noConversion"/>
  </si>
  <si>
    <t>YRT</t>
    <phoneticPr fontId="8" type="noConversion"/>
  </si>
  <si>
    <t>Primary Name</t>
    <phoneticPr fontId="8" type="noConversion"/>
  </si>
  <si>
    <t>Sub</t>
    <phoneticPr fontId="8" type="noConversion"/>
  </si>
  <si>
    <t>Layer Code</t>
    <phoneticPr fontId="8" type="noConversion"/>
  </si>
  <si>
    <t>Chip</t>
    <phoneticPr fontId="8" type="noConversion"/>
  </si>
  <si>
    <t>Database</t>
    <phoneticPr fontId="8" type="noConversion"/>
  </si>
  <si>
    <t>Top cell</t>
    <phoneticPr fontId="8" type="noConversion"/>
  </si>
  <si>
    <t>y</t>
    <phoneticPr fontId="8" type="noConversion"/>
  </si>
  <si>
    <t>x</t>
    <phoneticPr fontId="8" type="noConversion"/>
  </si>
  <si>
    <t>Step</t>
    <phoneticPr fontId="8" type="noConversion"/>
  </si>
  <si>
    <t>Data Tone /LayerNo.</t>
    <phoneticPr fontId="8" type="noConversion"/>
  </si>
  <si>
    <t>no</t>
    <phoneticPr fontId="8" type="noConversion"/>
  </si>
  <si>
    <t>Field Window</t>
    <phoneticPr fontId="8" type="noConversion"/>
  </si>
  <si>
    <t xml:space="preserve">Field Step </t>
    <phoneticPr fontId="8" type="noConversion"/>
  </si>
  <si>
    <t>Frame LBC center Location</t>
    <phoneticPr fontId="8" type="noConversion"/>
  </si>
  <si>
    <t>5x</t>
    <phoneticPr fontId="8" type="noConversion"/>
  </si>
  <si>
    <t>4x</t>
    <phoneticPr fontId="8" type="noConversion"/>
  </si>
  <si>
    <t>Data Tone</t>
  </si>
  <si>
    <t>Au(um,on CAD)</t>
  </si>
  <si>
    <t>Notch</t>
    <phoneticPr fontId="8" type="noConversion"/>
  </si>
  <si>
    <t>&lt;  process mark &gt;</t>
    <phoneticPr fontId="8" type="noConversion"/>
  </si>
  <si>
    <t>&lt;  CD1 ; CDBAR &gt;</t>
    <phoneticPr fontId="8" type="noConversion"/>
  </si>
  <si>
    <t>&lt; alignment mark &gt;</t>
    <phoneticPr fontId="8" type="noConversion"/>
  </si>
  <si>
    <t>Change History</t>
    <phoneticPr fontId="8" type="noConversion"/>
  </si>
  <si>
    <t xml:space="preserve">on mask </t>
    <phoneticPr fontId="8" type="noConversion"/>
  </si>
  <si>
    <t>Pr Type</t>
    <phoneticPr fontId="8" type="noConversion"/>
  </si>
  <si>
    <t>Mask trans. Ratio</t>
    <phoneticPr fontId="8" type="noConversion"/>
  </si>
  <si>
    <t>Mask Grade</t>
    <phoneticPr fontId="8" type="noConversion"/>
  </si>
  <si>
    <t>Mag.</t>
    <phoneticPr fontId="8" type="noConversion"/>
  </si>
  <si>
    <t xml:space="preserve">FAB : </t>
    <phoneticPr fontId="8" type="noConversion"/>
  </si>
  <si>
    <t>8A</t>
    <phoneticPr fontId="8" type="noConversion"/>
  </si>
  <si>
    <t>T.O</t>
    <phoneticPr fontId="8" type="noConversion"/>
  </si>
  <si>
    <t>Pellicle</t>
    <phoneticPr fontId="8" type="noConversion"/>
  </si>
  <si>
    <t>CAD Window
Size</t>
    <phoneticPr fontId="8" type="noConversion"/>
  </si>
  <si>
    <t>B</t>
    <phoneticPr fontId="8" type="noConversion"/>
  </si>
  <si>
    <t>A</t>
    <phoneticPr fontId="8" type="noConversion"/>
  </si>
  <si>
    <t>Array</t>
    <phoneticPr fontId="8" type="noConversion"/>
  </si>
  <si>
    <t>4X, 5X mask (um,on cad)</t>
    <phoneticPr fontId="8" type="noConversion"/>
  </si>
  <si>
    <t>no</t>
    <phoneticPr fontId="8" type="noConversion"/>
  </si>
  <si>
    <t>cell name</t>
    <phoneticPr fontId="8" type="noConversion"/>
  </si>
  <si>
    <t>X</t>
    <phoneticPr fontId="8" type="noConversion"/>
  </si>
  <si>
    <t>Y</t>
    <phoneticPr fontId="8" type="noConversion"/>
  </si>
  <si>
    <t>R</t>
    <phoneticPr fontId="8" type="noConversion"/>
  </si>
  <si>
    <t>4X, 5X mask (um,on cad)</t>
    <phoneticPr fontId="8" type="noConversion"/>
  </si>
  <si>
    <r>
      <t xml:space="preserve">4X / 5X </t>
    </r>
    <r>
      <rPr>
        <sz val="12"/>
        <rFont val="Arial"/>
        <family val="2"/>
      </rPr>
      <t>LBC
center location</t>
    </r>
    <phoneticPr fontId="8" type="noConversion"/>
  </si>
  <si>
    <r>
      <t>2X</t>
    </r>
    <r>
      <rPr>
        <sz val="12"/>
        <rFont val="Arial"/>
        <family val="2"/>
      </rPr>
      <t xml:space="preserve"> LBC 
center location</t>
    </r>
    <phoneticPr fontId="8" type="noConversion"/>
  </si>
  <si>
    <t>Writer
machine</t>
    <phoneticPr fontId="8" type="noConversion"/>
  </si>
  <si>
    <t>layer
#</t>
    <phoneticPr fontId="8" type="noConversion"/>
  </si>
  <si>
    <t>frame type</t>
    <phoneticPr fontId="8" type="noConversion"/>
  </si>
  <si>
    <t>MLM</t>
    <phoneticPr fontId="8" type="noConversion"/>
  </si>
  <si>
    <t>Shuttle</t>
    <phoneticPr fontId="8" type="noConversion"/>
  </si>
  <si>
    <t>&lt;  floorplan &gt;</t>
    <phoneticPr fontId="8" type="noConversion"/>
  </si>
  <si>
    <t xml:space="preserve">on mask </t>
    <phoneticPr fontId="8" type="noConversion"/>
  </si>
  <si>
    <t>-</t>
    <phoneticPr fontId="8" type="noConversion"/>
  </si>
  <si>
    <t>D</t>
    <phoneticPr fontId="8" type="noConversion"/>
  </si>
  <si>
    <t>Note :</t>
    <phoneticPr fontId="8" type="noConversion"/>
  </si>
  <si>
    <t>1. must on grid in writing DB after data conversion</t>
    <phoneticPr fontId="8" type="noConversion"/>
  </si>
  <si>
    <t>3. Sizing first.</t>
    <phoneticPr fontId="8" type="noConversion"/>
  </si>
  <si>
    <t>4. Layer table :</t>
    <phoneticPr fontId="8" type="noConversion"/>
  </si>
  <si>
    <t>datatone</t>
    <phoneticPr fontId="8" type="noConversion"/>
  </si>
  <si>
    <t xml:space="preserve">layer no </t>
    <phoneticPr fontId="8" type="noConversion"/>
  </si>
  <si>
    <t>mask area</t>
    <phoneticPr fontId="8" type="noConversion"/>
  </si>
  <si>
    <t>no draw</t>
    <phoneticPr fontId="8" type="noConversion"/>
  </si>
  <si>
    <t>Y</t>
    <phoneticPr fontId="8" type="noConversion"/>
  </si>
  <si>
    <t>Chip name</t>
    <phoneticPr fontId="8" type="noConversion"/>
  </si>
  <si>
    <t>Alignment Mark Type</t>
    <phoneticPr fontId="8" type="noConversion"/>
  </si>
  <si>
    <t>mask house</t>
    <phoneticPr fontId="8" type="noConversion"/>
  </si>
  <si>
    <t>X</t>
    <phoneticPr fontId="8" type="noConversion"/>
  </si>
  <si>
    <t>scribe line</t>
    <phoneticPr fontId="8" type="noConversion"/>
  </si>
  <si>
    <t>shot size</t>
    <phoneticPr fontId="8" type="noConversion"/>
  </si>
  <si>
    <r>
      <rPr>
        <sz val="12"/>
        <rFont val="新細明體"/>
        <family val="1"/>
        <charset val="136"/>
      </rPr>
      <t>凹凸</t>
    </r>
    <r>
      <rPr>
        <sz val="12"/>
        <rFont val="Arial"/>
        <family val="2"/>
      </rPr>
      <t>dicing</t>
    </r>
    <phoneticPr fontId="8" type="noConversion"/>
  </si>
  <si>
    <r>
      <rPr>
        <sz val="12"/>
        <rFont val="新細明體"/>
        <family val="1"/>
        <charset val="136"/>
      </rPr>
      <t>朝下</t>
    </r>
  </si>
  <si>
    <t>2X mask Filed array</t>
    <phoneticPr fontId="8" type="noConversion"/>
  </si>
  <si>
    <t>X</t>
    <phoneticPr fontId="8" type="noConversion"/>
  </si>
  <si>
    <t>Y</t>
    <phoneticPr fontId="8" type="noConversion"/>
  </si>
  <si>
    <r>
      <rPr>
        <b/>
        <sz val="12"/>
        <rFont val="新細明體"/>
        <family val="1"/>
        <charset val="136"/>
      </rPr>
      <t>圖例</t>
    </r>
    <phoneticPr fontId="8" type="noConversion"/>
  </si>
  <si>
    <t>KLA</t>
    <phoneticPr fontId="8" type="noConversion"/>
  </si>
  <si>
    <t>SX/SY</t>
    <phoneticPr fontId="8" type="noConversion"/>
  </si>
  <si>
    <t>AGA</t>
    <phoneticPr fontId="8" type="noConversion"/>
  </si>
  <si>
    <t>FIA</t>
    <phoneticPr fontId="8" type="noConversion"/>
  </si>
  <si>
    <t>LSA</t>
    <phoneticPr fontId="8" type="noConversion"/>
  </si>
  <si>
    <t>TVPA</t>
    <phoneticPr fontId="8" type="noConversion"/>
  </si>
  <si>
    <t>2DAGA</t>
    <phoneticPr fontId="8" type="noConversion"/>
  </si>
  <si>
    <t>2DFIA</t>
    <phoneticPr fontId="8" type="noConversion"/>
  </si>
  <si>
    <t>AIM</t>
    <phoneticPr fontId="8" type="noConversion"/>
  </si>
  <si>
    <t xml:space="preserve">6.  If use NEGA resist mask , </t>
    <phoneticPr fontId="8" type="noConversion"/>
  </si>
  <si>
    <t>5. Please see the OPC sheet</t>
    <phoneticPr fontId="8" type="noConversion"/>
  </si>
  <si>
    <t>2X mask (um,on cad)</t>
    <phoneticPr fontId="8" type="noConversion"/>
  </si>
  <si>
    <t>no</t>
    <phoneticPr fontId="8" type="noConversion"/>
  </si>
  <si>
    <t>cell name</t>
    <phoneticPr fontId="8" type="noConversion"/>
  </si>
  <si>
    <t>X</t>
    <phoneticPr fontId="8" type="noConversion"/>
  </si>
  <si>
    <t>Y</t>
    <phoneticPr fontId="8" type="noConversion"/>
  </si>
  <si>
    <t>R</t>
    <phoneticPr fontId="8" type="noConversion"/>
  </si>
  <si>
    <t>8B</t>
    <phoneticPr fontId="8" type="noConversion"/>
  </si>
  <si>
    <t>MLM_Shuttle</t>
    <phoneticPr fontId="8" type="noConversion"/>
  </si>
  <si>
    <t>Drop-in</t>
    <phoneticPr fontId="8" type="noConversion"/>
  </si>
  <si>
    <t>If Posi , keep dark ; If Nega. Keep clear</t>
    <phoneticPr fontId="8" type="noConversion"/>
  </si>
  <si>
    <t>7. For process or products with independent specification, please double check</t>
    <phoneticPr fontId="8" type="noConversion"/>
  </si>
  <si>
    <t>Field shift</t>
    <phoneticPr fontId="8" type="noConversion"/>
  </si>
  <si>
    <r>
      <t xml:space="preserve">"Data Tone:C"  :   please </t>
    </r>
    <r>
      <rPr>
        <b/>
        <i/>
        <sz val="12"/>
        <color rgb="FF00B050"/>
        <rFont val="Arial"/>
        <family val="2"/>
      </rPr>
      <t>OR</t>
    </r>
    <r>
      <rPr>
        <b/>
        <i/>
        <sz val="12"/>
        <rFont val="Arial"/>
        <family val="2"/>
      </rPr>
      <t xml:space="preserve"> layer "L220" of fa data.</t>
    </r>
    <phoneticPr fontId="8" type="noConversion"/>
  </si>
  <si>
    <r>
      <t xml:space="preserve">"Data Tone:D"  :   please </t>
    </r>
    <r>
      <rPr>
        <b/>
        <i/>
        <sz val="12"/>
        <color rgb="FF00B0F0"/>
        <rFont val="Arial"/>
        <family val="2"/>
      </rPr>
      <t>NOT</t>
    </r>
    <r>
      <rPr>
        <b/>
        <i/>
        <sz val="12"/>
        <rFont val="Arial"/>
        <family val="2"/>
      </rPr>
      <t xml:space="preserve"> layer "L220" of fa data.</t>
    </r>
    <phoneticPr fontId="8" type="noConversion"/>
  </si>
  <si>
    <t>8. Registration Point 1~24 pls refer to OI (Reticle Design Manual)</t>
    <phoneticPr fontId="8" type="noConversion"/>
  </si>
  <si>
    <t>&lt;  CD2 ; Registration &gt;</t>
    <phoneticPr fontId="8" type="noConversion"/>
  </si>
  <si>
    <t>Special Note :</t>
    <phoneticPr fontId="8" type="noConversion"/>
  </si>
  <si>
    <t>CMT</t>
    <phoneticPr fontId="8" type="noConversion"/>
  </si>
  <si>
    <t>Fully follow Customer Mask Tooling form</t>
    <phoneticPr fontId="8" type="noConversion"/>
  </si>
  <si>
    <t>PSMC</t>
    <phoneticPr fontId="8" type="noConversion"/>
  </si>
  <si>
    <t>V1</t>
    <phoneticPr fontId="8" type="noConversion"/>
  </si>
  <si>
    <t>Chipname</t>
    <phoneticPr fontId="8" type="noConversion"/>
  </si>
  <si>
    <t>Technology /Type</t>
    <phoneticPr fontId="8" type="noConversion"/>
  </si>
  <si>
    <t>Field array</t>
    <phoneticPr fontId="8" type="noConversion"/>
  </si>
  <si>
    <t>fa</t>
    <phoneticPr fontId="8" type="noConversion"/>
  </si>
  <si>
    <t>Alignment mark</t>
    <phoneticPr fontId="8" type="noConversion"/>
  </si>
  <si>
    <t>Process ID</t>
    <phoneticPr fontId="8" type="noConversion"/>
  </si>
  <si>
    <t>Fab</t>
    <phoneticPr fontId="8" type="noConversion"/>
  </si>
  <si>
    <t>5X</t>
    <phoneticPr fontId="8" type="noConversion"/>
  </si>
  <si>
    <t>Frame type</t>
    <phoneticPr fontId="8" type="noConversion"/>
  </si>
  <si>
    <t>Mask House</t>
    <phoneticPr fontId="8" type="noConversion"/>
  </si>
  <si>
    <t>4X</t>
    <phoneticPr fontId="8" type="noConversion"/>
  </si>
  <si>
    <t>2X</t>
    <phoneticPr fontId="8" type="noConversion"/>
  </si>
  <si>
    <t>Shrink</t>
    <phoneticPr fontId="8" type="noConversion"/>
  </si>
  <si>
    <t>遮光帶</t>
    <phoneticPr fontId="8" type="noConversion"/>
  </si>
  <si>
    <t>Rotate</t>
    <phoneticPr fontId="8" type="noConversion"/>
  </si>
  <si>
    <t>Chip array</t>
    <phoneticPr fontId="8" type="noConversion"/>
  </si>
  <si>
    <t>seal ring</t>
    <phoneticPr fontId="8" type="noConversion"/>
  </si>
  <si>
    <t>frame width</t>
    <phoneticPr fontId="8" type="noConversion"/>
  </si>
  <si>
    <t>If Posi , keep clear ; If Nega. Keep dark</t>
    <phoneticPr fontId="8" type="noConversion"/>
  </si>
  <si>
    <t>Date</t>
    <phoneticPr fontId="8" type="noConversion"/>
  </si>
  <si>
    <t>Layer</t>
    <phoneticPr fontId="8" type="noConversion"/>
  </si>
  <si>
    <t>Editor</t>
    <phoneticPr fontId="8" type="noConversion"/>
  </si>
  <si>
    <t>Version</t>
    <phoneticPr fontId="8" type="noConversion"/>
  </si>
  <si>
    <t>Type</t>
    <phoneticPr fontId="8" type="noConversion"/>
  </si>
  <si>
    <t>Note</t>
    <phoneticPr fontId="8" type="noConversion"/>
  </si>
  <si>
    <t>New product.</t>
    <phoneticPr fontId="8" type="noConversion"/>
  </si>
  <si>
    <t>A</t>
    <phoneticPr fontId="8" type="noConversion"/>
  </si>
  <si>
    <t>ALL</t>
    <phoneticPr fontId="8" type="noConversion"/>
  </si>
  <si>
    <t>from cad window</t>
    <phoneticPr fontId="8" type="noConversion"/>
  </si>
  <si>
    <t>from MaskSoft</t>
    <phoneticPr fontId="8" type="noConversion"/>
  </si>
  <si>
    <t>NO Compare</t>
    <phoneticPr fontId="8" type="noConversion"/>
  </si>
  <si>
    <t>CHIP_BLOCK Compare</t>
    <phoneticPr fontId="8" type="noConversion"/>
  </si>
  <si>
    <t>chip size</t>
    <phoneticPr fontId="8" type="noConversion"/>
  </si>
  <si>
    <t>chip array</t>
    <phoneticPr fontId="8" type="noConversion"/>
  </si>
  <si>
    <t>Non-Array</t>
    <phoneticPr fontId="8" type="noConversion"/>
  </si>
  <si>
    <t>P1</t>
    <phoneticPr fontId="8" type="noConversion"/>
  </si>
  <si>
    <t>P3</t>
    <phoneticPr fontId="8" type="noConversion"/>
  </si>
  <si>
    <t>P2</t>
    <phoneticPr fontId="8" type="noConversion"/>
  </si>
  <si>
    <t>P1/2</t>
    <phoneticPr fontId="8" type="noConversion"/>
  </si>
  <si>
    <t>MLM_NonArray</t>
    <phoneticPr fontId="8" type="noConversion"/>
  </si>
  <si>
    <t>P5</t>
    <phoneticPr fontId="8" type="noConversion"/>
  </si>
  <si>
    <t>9. Sheet"tooling"-Chip : "**-CMT" : gds file send to mask house by Customer.</t>
    <phoneticPr fontId="8" type="noConversion"/>
  </si>
  <si>
    <t>10. Sheet"tooling"-Database &amp; Top cell : "Null" : no gds</t>
    <phoneticPr fontId="8" type="noConversion"/>
  </si>
  <si>
    <t>11. MPC for fa data of 1F,1G,SP  layers for process ID of "038DR" or"025DR" .</t>
    <phoneticPr fontId="8" type="noConversion"/>
  </si>
  <si>
    <t>Tooling Form No</t>
    <phoneticPr fontId="8" type="noConversion"/>
  </si>
  <si>
    <t>PDMC</t>
    <phoneticPr fontId="8" type="noConversion"/>
  </si>
  <si>
    <t>-</t>
    <phoneticPr fontId="8" type="noConversion"/>
  </si>
  <si>
    <t>2. Version code : Determine if modification is needed based on the page "process".</t>
    <phoneticPr fontId="8" type="noConversion"/>
  </si>
  <si>
    <t>(1) If the "cell name" field contains "VC", the mask house needs to modify the Version code when a new version is released.</t>
    <phoneticPr fontId="8" type="noConversion"/>
  </si>
  <si>
    <t>(2) If  "VC" is absent from the "cell name" field , no Version code is set ,and Mask house needn't make changes.</t>
    <phoneticPr fontId="8" type="noConversion"/>
  </si>
  <si>
    <t>AMCLJR21A</t>
  </si>
  <si>
    <t>AMCLJR21A</t>
    <phoneticPr fontId="8" type="noConversion"/>
  </si>
  <si>
    <t>MLSCHD</t>
  </si>
  <si>
    <t>MLSCHD</t>
    <phoneticPr fontId="8" type="noConversion"/>
  </si>
  <si>
    <t>350MCSB3V100V</t>
    <phoneticPr fontId="8" type="noConversion"/>
  </si>
  <si>
    <t>Non-Array</t>
  </si>
  <si>
    <t>0.35um</t>
    <phoneticPr fontId="8" type="noConversion"/>
  </si>
  <si>
    <t>Logic</t>
    <phoneticPr fontId="8" type="noConversion"/>
  </si>
  <si>
    <t>R0</t>
  </si>
  <si>
    <t>MTPSMC007</t>
  </si>
  <si>
    <t>MTPSMC006</t>
  </si>
  <si>
    <t>MTPSMC005</t>
  </si>
  <si>
    <t>MTPSMC004</t>
  </si>
  <si>
    <t>MTPSMC003</t>
  </si>
  <si>
    <t>MTPSMC002</t>
  </si>
  <si>
    <t>MTPSMC001</t>
  </si>
  <si>
    <t>MTC006</t>
  </si>
  <si>
    <t>MTC005</t>
  </si>
  <si>
    <t>MTC004</t>
  </si>
  <si>
    <t>MTC003</t>
  </si>
  <si>
    <t>MTC002</t>
  </si>
  <si>
    <t>MTC001</t>
  </si>
  <si>
    <t>R90</t>
  </si>
  <si>
    <t>PMLSCHD_WAL_A_STD_02_F_C11_40X40</t>
  </si>
  <si>
    <t>PMLSCHD_WAD_A_STD_02_F_C11_40X40</t>
  </si>
  <si>
    <t>PMLSCHD_VNR_PI_STD_02_F_C11_500X50</t>
  </si>
  <si>
    <t>PMLSCHD_VNR_A_STD_08_F_C11_4340X50</t>
  </si>
  <si>
    <t>P350MCSB3V100V_MCLJR_VC_1</t>
  </si>
  <si>
    <t>AMLSCHD_TV_1C_STD_02_F_C11_56X56</t>
  </si>
  <si>
    <t>AMLSCHD_TV_3E_STD_01_F_C11_56X56</t>
  </si>
  <si>
    <t>AMLSCHD_TV_1G_STD_02_F_C11_56X56</t>
  </si>
  <si>
    <t>AMLSCHD_TV_2G_STD_01_F_C11_56X56</t>
  </si>
  <si>
    <t>AMLSCHD_TV_3G_STD_01_F_C11_56X56</t>
  </si>
  <si>
    <t>AMLSCHD_TV_4G_STD_01_F_C11_56X56</t>
  </si>
  <si>
    <t>AMLSCHD_TV_5G_STD_01_F_C11_56X56</t>
  </si>
  <si>
    <t>AMLSCHD_TV_5S_STD_02_F_C11_56X56</t>
  </si>
  <si>
    <t>AMLSCHD_TV_6S_STD_02_F_C11_56X56</t>
  </si>
  <si>
    <t>AMLSCHD_TV_PV_STD_01_F_C11_56X56</t>
  </si>
  <si>
    <t>AMLSCHD_TV_3M_STD_01_F_C11_56X56</t>
  </si>
  <si>
    <t>AMLSCHD_TV_2T_STD_01_F_C11_56X56</t>
  </si>
  <si>
    <t>AMLSCHD_TV_2M_STD_01_F_C11_56X56</t>
  </si>
  <si>
    <t>AMLSCHD_TV_1T_STD_01_F_C11_56X56</t>
  </si>
  <si>
    <t>AMLSCHD_TV_1M_STD_02_F_C11_56X56</t>
  </si>
  <si>
    <t>AMLSCHD_TV_2C_STD_02_F_C11_56X56</t>
  </si>
  <si>
    <t>AMLSCHD_SY_A_STD_04_X_C11_4800X56</t>
  </si>
  <si>
    <t>AMLSCHD_SX_A_STD_04_Y_C11_2400X56</t>
  </si>
  <si>
    <t>PMLSCHD_SEM_A_STD_04_F_C11_180X40</t>
  </si>
  <si>
    <t>RMLSCHD_REG_A_STD_03_F_C11_24X24</t>
  </si>
  <si>
    <t>AMLSCHD_LSA_A_STD_04_F_C11_3200X56</t>
  </si>
  <si>
    <t>PMLSCHD_KLA_A_STD_07_F_C11_3540X50</t>
  </si>
  <si>
    <t>R180</t>
  </si>
  <si>
    <t>PMLSCHD_KLAOUT_2M_STD_01_F_C11_60X50</t>
  </si>
  <si>
    <t>PMLSCHD_KLAOUT_1M_STD_01_F_C11_60X50</t>
  </si>
  <si>
    <t>PMLSCHD_KLAOUT_5S_STD_02_F_C11_60X50</t>
  </si>
  <si>
    <t>PMLSCHD_KLAOUT_6S_STD_02_F_C11_60X50</t>
  </si>
  <si>
    <t>PMLSCHD_KLAIN_2M_STD_01_F_C11_60X50</t>
  </si>
  <si>
    <t>PMLSCHD_KLAIN_1M_STD_01_F_C11_60X50</t>
  </si>
  <si>
    <t>PMLSCHD_KLAIN_5S_STD_02_F_C11_60X50</t>
  </si>
  <si>
    <t>PMLSCHD_KLAIN_6S_STD_02_F_C11_60X50</t>
  </si>
  <si>
    <t>PMLSCHD_GENTEN_A_STD_04_F_C11_60X60</t>
  </si>
  <si>
    <t>AMLSCHD_FIA_B_STD_05_F_C11_3200X56</t>
  </si>
  <si>
    <t>AMLSCHD_FIA_A_STD_04_F_C11_3200X56</t>
  </si>
  <si>
    <t>AMLSCHD_AGA_A_STD_05_F_C11_2400X56</t>
  </si>
  <si>
    <t>AMLSCHD_2DAGA_A_STD_04_F_C11_1280X56</t>
  </si>
  <si>
    <t>M_ETCHBOX_1</t>
  </si>
  <si>
    <t>M_CDBAR_1</t>
  </si>
  <si>
    <t>DB20</t>
  </si>
  <si>
    <t>DB19</t>
  </si>
  <si>
    <t>DB18</t>
  </si>
  <si>
    <t>DB17</t>
  </si>
  <si>
    <t>DB16</t>
  </si>
  <si>
    <t>DB15</t>
  </si>
  <si>
    <t>DB14</t>
  </si>
  <si>
    <t>DB13</t>
  </si>
  <si>
    <t>DB12</t>
  </si>
  <si>
    <t>DB11</t>
  </si>
  <si>
    <t>DB10</t>
  </si>
  <si>
    <t>DB9</t>
  </si>
  <si>
    <t>DB8</t>
  </si>
  <si>
    <t>DB7</t>
  </si>
  <si>
    <t>DB6</t>
  </si>
  <si>
    <t>DB5</t>
  </si>
  <si>
    <t>DB4</t>
  </si>
  <si>
    <t>DB3</t>
  </si>
  <si>
    <t>DB2</t>
  </si>
  <si>
    <t>DB1</t>
  </si>
  <si>
    <t>DB1</t>
    <phoneticPr fontId="8" type="noConversion"/>
  </si>
  <si>
    <t>DB2</t>
    <phoneticPr fontId="8" type="noConversion"/>
  </si>
  <si>
    <t>DB3</t>
    <phoneticPr fontId="8" type="noConversion"/>
  </si>
  <si>
    <t>DB4</t>
    <phoneticPr fontId="8" type="noConversion"/>
  </si>
  <si>
    <t>DB5</t>
    <phoneticPr fontId="8" type="noConversion"/>
  </si>
  <si>
    <t>DB6</t>
    <phoneticPr fontId="8" type="noConversion"/>
  </si>
  <si>
    <t>DB7</t>
    <phoneticPr fontId="8" type="noConversion"/>
  </si>
  <si>
    <t>DB8</t>
    <phoneticPr fontId="8" type="noConversion"/>
  </si>
  <si>
    <t>DB9</t>
    <phoneticPr fontId="8" type="noConversion"/>
  </si>
  <si>
    <t>DB10</t>
    <phoneticPr fontId="8" type="noConversion"/>
  </si>
  <si>
    <t>DB11</t>
    <phoneticPr fontId="8" type="noConversion"/>
  </si>
  <si>
    <t>DB12</t>
    <phoneticPr fontId="8" type="noConversion"/>
  </si>
  <si>
    <t>DB13</t>
    <phoneticPr fontId="8" type="noConversion"/>
  </si>
  <si>
    <t>DB14</t>
    <phoneticPr fontId="8" type="noConversion"/>
  </si>
  <si>
    <t>DB15</t>
    <phoneticPr fontId="8" type="noConversion"/>
  </si>
  <si>
    <t>DB16</t>
    <phoneticPr fontId="8" type="noConversion"/>
  </si>
  <si>
    <t>DB17</t>
    <phoneticPr fontId="8" type="noConversion"/>
  </si>
  <si>
    <t>DB18</t>
    <phoneticPr fontId="8" type="noConversion"/>
  </si>
  <si>
    <t>DB19</t>
    <phoneticPr fontId="8" type="noConversion"/>
  </si>
  <si>
    <t>DB20</t>
    <phoneticPr fontId="8" type="noConversion"/>
  </si>
  <si>
    <t>M_CDBAR_1</t>
    <phoneticPr fontId="8" type="noConversion"/>
  </si>
  <si>
    <t>M_ETCHBOX_1</t>
    <phoneticPr fontId="8" type="noConversion"/>
  </si>
  <si>
    <t>MTC001</t>
    <phoneticPr fontId="8" type="noConversion"/>
  </si>
  <si>
    <t>MTC002</t>
    <phoneticPr fontId="8" type="noConversion"/>
  </si>
  <si>
    <t>MTC003</t>
    <phoneticPr fontId="8" type="noConversion"/>
  </si>
  <si>
    <t>MTC004</t>
    <phoneticPr fontId="8" type="noConversion"/>
  </si>
  <si>
    <t>MTC005</t>
    <phoneticPr fontId="8" type="noConversion"/>
  </si>
  <si>
    <t>MTC006</t>
    <phoneticPr fontId="8" type="noConversion"/>
  </si>
  <si>
    <t>MTPSMC001</t>
    <phoneticPr fontId="8" type="noConversion"/>
  </si>
  <si>
    <t>MTPSMC002</t>
    <phoneticPr fontId="8" type="noConversion"/>
  </si>
  <si>
    <t>MTPSMC003</t>
    <phoneticPr fontId="8" type="noConversion"/>
  </si>
  <si>
    <t>MTPSMC004</t>
    <phoneticPr fontId="8" type="noConversion"/>
  </si>
  <si>
    <t>MTPSMC005</t>
    <phoneticPr fontId="8" type="noConversion"/>
  </si>
  <si>
    <t>MTPSMC006</t>
    <phoneticPr fontId="8" type="noConversion"/>
  </si>
  <si>
    <t>MTPSMC007</t>
    <phoneticPr fontId="8" type="noConversion"/>
  </si>
  <si>
    <t>2X</t>
  </si>
  <si>
    <t>Frame Array = 2X2</t>
  </si>
  <si>
    <t>AMCLJR21A_frame</t>
  </si>
  <si>
    <t>Main_die_LBC_ 1X1</t>
  </si>
  <si>
    <t>R0</t>
    <phoneticPr fontId="8" type="noConversion"/>
  </si>
  <si>
    <t>Irene</t>
    <phoneticPr fontId="8" type="noConversion"/>
  </si>
  <si>
    <t>MTF-20251222-020</t>
    <phoneticPr fontId="8" type="noConversion"/>
  </si>
  <si>
    <t>*floorplan</t>
    <phoneticPr fontId="8" type="noConversion"/>
  </si>
  <si>
    <t>PDMC</t>
  </si>
  <si>
    <t>*(1)</t>
    <phoneticPr fontId="8" type="noConversion"/>
  </si>
  <si>
    <t>amcljr21a_frame_2M</t>
    <phoneticPr fontId="8" type="noConversion"/>
  </si>
  <si>
    <t>Y</t>
  </si>
  <si>
    <t>P</t>
  </si>
  <si>
    <t>Binary</t>
  </si>
  <si>
    <t>D</t>
  </si>
  <si>
    <t>KrF</t>
  </si>
  <si>
    <t>4X</t>
  </si>
  <si>
    <t>ALTA</t>
  </si>
  <si>
    <t>SAAMCLJR21AP</t>
  </si>
  <si>
    <t>6SAAL</t>
  </si>
  <si>
    <t>6S</t>
  </si>
  <si>
    <t>C</t>
  </si>
  <si>
    <t>L86</t>
  </si>
  <si>
    <t>0.001</t>
  </si>
  <si>
    <t>B</t>
  </si>
  <si>
    <t>1GAAL</t>
  </si>
  <si>
    <t>1G</t>
  </si>
  <si>
    <t>L71</t>
  </si>
  <si>
    <t>5X</t>
  </si>
  <si>
    <t>SAAMCLJR21AY</t>
  </si>
  <si>
    <t>1SAAL</t>
  </si>
  <si>
    <t>1S</t>
  </si>
  <si>
    <t>L81</t>
  </si>
  <si>
    <t>3EAAL</t>
  </si>
  <si>
    <t>3E</t>
  </si>
  <si>
    <t>L63</t>
  </si>
  <si>
    <t>1CAAL</t>
  </si>
  <si>
    <t>1C</t>
  </si>
  <si>
    <t>L92</t>
  </si>
  <si>
    <t>1MAAL</t>
  </si>
  <si>
    <t>1M</t>
  </si>
  <si>
    <t>L111</t>
  </si>
  <si>
    <t>1TAAL</t>
  </si>
  <si>
    <t>1T</t>
  </si>
  <si>
    <t>L121</t>
  </si>
  <si>
    <t>N</t>
  </si>
  <si>
    <t>2MAAL</t>
  </si>
  <si>
    <t>2M</t>
  </si>
  <si>
    <t>L112</t>
  </si>
  <si>
    <t>PVAAL</t>
  </si>
  <si>
    <t>PV</t>
  </si>
  <si>
    <t>L131</t>
  </si>
  <si>
    <t>SAAMCLJR21AT</t>
  </si>
  <si>
    <t>PIAAL</t>
  </si>
  <si>
    <t>PI</t>
  </si>
  <si>
    <t>L132</t>
  </si>
  <si>
    <t>001_SI_IPD_A1B1C1.gds</t>
  </si>
  <si>
    <t>001_SI_IPD_A1B1C1</t>
  </si>
  <si>
    <t>002_SI_IPD_A1B2C1.gds</t>
  </si>
  <si>
    <t>002_SI_IPD_A1B2C1</t>
  </si>
  <si>
    <t>003_SI_IPD_A1B3C1.gds</t>
  </si>
  <si>
    <t>003_SI_IPD_A1B3C1</t>
  </si>
  <si>
    <t>004_SI_IPD_A1B4C1.gds</t>
  </si>
  <si>
    <t>005_SI_IPD_A1B5C1.gds</t>
  </si>
  <si>
    <t>006_SI_IPD_A2B1C1.gds</t>
  </si>
  <si>
    <t>004_SI_IPD_A1B4C1</t>
  </si>
  <si>
    <t>005_SI_IPD_A1B5C1</t>
  </si>
  <si>
    <t>006_SI_IPD_A2B1C1</t>
  </si>
  <si>
    <t>007_SI_IPD_A3B1C1.gds</t>
  </si>
  <si>
    <t>008_SI_IPD_A4B5C2.gds</t>
  </si>
  <si>
    <t>009_SI_IPD_A5B5C2.gds</t>
  </si>
  <si>
    <t>007_SI_IPD_A3B1C1</t>
  </si>
  <si>
    <t>008_SI_IPD_A4B5C2</t>
  </si>
  <si>
    <t>009_SI_IPD_A5B5C2</t>
  </si>
  <si>
    <t>010_SI_IPD_A5B2C2.gds</t>
  </si>
  <si>
    <t>011_SI_IPD_A5B3C2.gds</t>
  </si>
  <si>
    <t>012_SI_IPD_A5B6C2.gds</t>
  </si>
  <si>
    <t>010_SI_IPD_A5B2C2</t>
  </si>
  <si>
    <t>011_SI_IPD_A5B3C2</t>
  </si>
  <si>
    <t>012_SI_IPD_A5B6C2</t>
  </si>
  <si>
    <t>013_SI_IPD_A5B7C2.gds</t>
  </si>
  <si>
    <t>013_SI_IPD_A5B7C2</t>
  </si>
  <si>
    <t>014_SI_IPD_A6B5C3.gds</t>
  </si>
  <si>
    <t>015_SI_IPD_A5B5C2D1.gds</t>
  </si>
  <si>
    <t>016_SI_IPD_A7B5C2.gds</t>
  </si>
  <si>
    <t>018_SI_IPD_A10B5C2.gds</t>
  </si>
  <si>
    <t>019_SI_IPD_A10B2C2.gds</t>
  </si>
  <si>
    <t>020_SI_IPD_A10B3C2.gds</t>
  </si>
  <si>
    <t>014_SI_IPD_A6B5C3</t>
  </si>
  <si>
    <t>015_SI_IPD_A5B5C2D1</t>
  </si>
  <si>
    <t>016_SI_IPD_A7B5C2</t>
  </si>
  <si>
    <t>018_SI_IPD_A10B5C2</t>
  </si>
  <si>
    <t>019_SI_IPD_A10B2C2</t>
  </si>
  <si>
    <t>020_SI_IPD_A10B3C2</t>
  </si>
  <si>
    <t>P350MCSB3V100V_CDBAR_IPD_1P2M_250627.gds</t>
  </si>
  <si>
    <t>P350MCSB3V100V_CDBAR_IPD_1P2M_250627</t>
  </si>
  <si>
    <t>P350MCSB3V100V_ETCHBOX_5P2M_230727.gds</t>
  </si>
  <si>
    <t>P350MCSB3V100V_ETCHBOX_5P2M_230727</t>
  </si>
  <si>
    <t>C_GSG_TEST_KEY.gds</t>
  </si>
  <si>
    <t>C_TEST_KEY.gds</t>
  </si>
  <si>
    <t>R_GSG_TEST_KEY.gds</t>
  </si>
  <si>
    <t>R_TEST_KEY.gds</t>
  </si>
  <si>
    <t>mark.gds</t>
  </si>
  <si>
    <t>00C_GSG_TEST_KEY</t>
  </si>
  <si>
    <t>0C_TEST_KEY</t>
  </si>
  <si>
    <t>R_GSG_TEST_KEY</t>
  </si>
  <si>
    <t>R_TEST_KEY</t>
  </si>
  <si>
    <t>mark</t>
  </si>
  <si>
    <t>T350MCSB3V100V_IPD_01_2_ZH250627.gds</t>
  </si>
  <si>
    <t>T350MCSB3V100V_IPD_02_2_ZH250627.gds</t>
  </si>
  <si>
    <t>T350MCSB3V100V_RSM1_01_1_ZH241126.gds</t>
  </si>
  <si>
    <t>T350MCSB3V100V_Bridge2M_4um_1_01_1_ZH241114.gds</t>
  </si>
  <si>
    <t>T350MCSB3V100V_RS2M_4um_1_01_1_ZH241114.gds</t>
  </si>
  <si>
    <t>T350MCSB3V100V_RS2M_4um_2_01_1_ZH241114.gds</t>
  </si>
  <si>
    <t>T350MCSB3V100V_RS2M_4um_3_01_1_ZH241114.gds</t>
  </si>
  <si>
    <t>T350MCSB3V100V_IPD_01_2_ZH250627</t>
  </si>
  <si>
    <t>T350MCSB3V100V_IPD_02_2_ZH250627</t>
  </si>
  <si>
    <t>T350MCSB3V100V_RSM1_01_1_ZH241126</t>
  </si>
  <si>
    <t>T350MCSB3V100V_Bridge2M_4um_1_01_1_ZH241114</t>
  </si>
  <si>
    <t>T350MCSB3V100V_RS2M_4um_1_01_1_ZH241114</t>
  </si>
  <si>
    <t>T350MCSB3V100V_RS2M_4um_2_01_1_ZH241114</t>
  </si>
  <si>
    <t>T350MCSB3V100V_RS2M_4um_3_01_1_ZH241114</t>
  </si>
  <si>
    <t>MTF-20260102-005</t>
    <phoneticPr fontId="8" type="noConversion"/>
  </si>
  <si>
    <t xml:space="preserve">Change fa database. </t>
    <phoneticPr fontId="8" type="noConversion"/>
  </si>
  <si>
    <t>PIAAL</t>
    <phoneticPr fontId="8" type="noConversion"/>
  </si>
  <si>
    <t>ReAG: revise PI dicing line data from Wi_band_B5 to WiD</t>
    <phoneticPr fontId="8" type="noConversion"/>
  </si>
  <si>
    <t>017_SI_IPD_A8B5C2_2.gds</t>
    <phoneticPr fontId="8" type="noConversion"/>
  </si>
  <si>
    <t>017_SI_IPD_A8B5C2</t>
    <phoneticPr fontId="8" type="noConversion"/>
  </si>
  <si>
    <t>amcljr21a_frame_2M_260105_A.db</t>
    <phoneticPr fontId="8" type="noConversion"/>
  </si>
  <si>
    <t>RF_TEST_KEY_2.gds</t>
    <phoneticPr fontId="8" type="noConversion"/>
  </si>
  <si>
    <t>00RF_TEST_KEY</t>
    <phoneticPr fontId="8" type="noConversion"/>
  </si>
  <si>
    <t>2MAAL</t>
    <phoneticPr fontId="8" type="noConversion"/>
  </si>
  <si>
    <t>Update DB17, MTC001 database.</t>
    <phoneticPr fontId="8" type="noConversion"/>
  </si>
  <si>
    <t>DB reload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</si>
</sst>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/mm/dd"/>
  </numFmts>
  <fonts count="77">
    <font>
      <sz val="12"/>
      <name val="新細明體"/>
      <family val="1"/>
      <charset val="136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Arial"/>
      <family val="2"/>
      <charset val="136"/>
    </font>
    <font>
      <sz val="12"/>
      <color theme="1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0"/>
      <name val="Arial"/>
      <family val="2"/>
    </font>
    <font>
      <sz val="12"/>
      <name val="Arial"/>
      <family val="2"/>
    </font>
    <font>
      <b/>
      <sz val="18"/>
      <color indexed="8"/>
      <name val="Arial"/>
      <family val="2"/>
    </font>
    <font>
      <sz val="12"/>
      <color indexed="8"/>
      <name val="Arial"/>
      <family val="2"/>
    </font>
    <font>
      <b/>
      <sz val="12"/>
      <name val="Arial"/>
      <family val="2"/>
    </font>
    <font>
      <b/>
      <i/>
      <sz val="12"/>
      <color indexed="12"/>
      <name val="Arial"/>
      <family val="2"/>
    </font>
    <font>
      <b/>
      <i/>
      <sz val="16"/>
      <name val="Arial"/>
      <family val="2"/>
    </font>
    <font>
      <b/>
      <i/>
      <sz val="12"/>
      <name val="Arial"/>
      <family val="2"/>
    </font>
    <font>
      <b/>
      <sz val="16"/>
      <color indexed="17"/>
      <name val="Arial"/>
      <family val="2"/>
    </font>
    <font>
      <sz val="10"/>
      <name val="新細明體"/>
      <family val="1"/>
      <charset val="136"/>
    </font>
    <font>
      <sz val="8"/>
      <name val="Arial"/>
      <family val="2"/>
    </font>
    <font>
      <b/>
      <i/>
      <sz val="12"/>
      <color indexed="9"/>
      <name val="Arial"/>
      <family val="2"/>
    </font>
    <font>
      <b/>
      <i/>
      <sz val="12"/>
      <color indexed="16"/>
      <name val="Arial"/>
      <family val="2"/>
    </font>
    <font>
      <sz val="12"/>
      <color indexed="20"/>
      <name val="Arial"/>
      <family val="2"/>
    </font>
    <font>
      <b/>
      <sz val="12"/>
      <name val="新細明體"/>
      <family val="1"/>
      <charset val="136"/>
    </font>
    <font>
      <b/>
      <sz val="12"/>
      <color indexed="12"/>
      <name val="Arial"/>
      <family val="2"/>
    </font>
    <font>
      <b/>
      <sz val="12"/>
      <color indexed="10"/>
      <name val="Arial"/>
      <family val="2"/>
    </font>
    <font>
      <sz val="10"/>
      <name val="Helv"/>
      <family val="2"/>
    </font>
    <font>
      <sz val="12"/>
      <color indexed="10"/>
      <name val="新細明體"/>
      <family val="1"/>
      <charset val="136"/>
    </font>
    <font>
      <b/>
      <sz val="14"/>
      <color indexed="10"/>
      <name val="Comic Sans MS"/>
      <family val="4"/>
    </font>
    <font>
      <sz val="12"/>
      <color indexed="8"/>
      <name val="新細明體"/>
      <family val="1"/>
      <charset val="136"/>
    </font>
    <font>
      <sz val="12"/>
      <color indexed="9"/>
      <name val="新細明體"/>
      <family val="1"/>
      <charset val="136"/>
    </font>
    <font>
      <sz val="12"/>
      <color indexed="60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17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sz val="12"/>
      <color indexed="5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sz val="12"/>
      <color indexed="20"/>
      <name val="新細明體"/>
      <family val="1"/>
      <charset val="136"/>
    </font>
    <font>
      <b/>
      <i/>
      <sz val="12"/>
      <color rgb="FF00B0F0"/>
      <name val="Arial"/>
      <family val="2"/>
    </font>
    <font>
      <b/>
      <i/>
      <sz val="24"/>
      <name val="Arial"/>
      <family val="2"/>
    </font>
    <font>
      <sz val="12"/>
      <color rgb="FFFF0000"/>
      <name val="Arial"/>
      <family val="2"/>
    </font>
    <font>
      <sz val="12"/>
      <name val="Courier New"/>
      <family val="3"/>
    </font>
    <font>
      <sz val="11"/>
      <name val=""/>
      <family val="3"/>
      <charset val="128"/>
    </font>
    <font>
      <sz val="11"/>
      <name val="?i"/>
      <family val="1"/>
    </font>
    <font>
      <sz val="9"/>
      <name val=" a"/>
      <family val="3"/>
      <charset val="128"/>
    </font>
    <font>
      <b/>
      <i/>
      <sz val="12"/>
      <color rgb="FF0000FF"/>
      <name val="Arial"/>
      <family val="2"/>
    </font>
    <font>
      <b/>
      <i/>
      <sz val="12"/>
      <color rgb="FF00B050"/>
      <name val="Arial"/>
      <family val="2"/>
    </font>
    <font>
      <b/>
      <sz val="14"/>
      <color indexed="81"/>
      <name val="細明體"/>
      <family val="3"/>
      <charset val="136"/>
    </font>
    <font>
      <b/>
      <sz val="14"/>
      <name val="Arial"/>
      <family val="2"/>
    </font>
    <font>
      <b/>
      <sz val="14"/>
      <color indexed="81"/>
      <name val="Arial"/>
      <family val="2"/>
    </font>
    <font>
      <b/>
      <i/>
      <sz val="24"/>
      <color rgb="FFFF0000"/>
      <name val="Arial"/>
      <family val="2"/>
    </font>
    <font>
      <b/>
      <i/>
      <sz val="12"/>
      <color rgb="FFFF0000"/>
      <name val="Arial"/>
      <family val="2"/>
    </font>
    <font>
      <b/>
      <sz val="10"/>
      <color rgb="FF0000FF"/>
      <name val="Arial"/>
      <family val="2"/>
    </font>
    <font>
      <b/>
      <i/>
      <sz val="14"/>
      <color rgb="FFC00000"/>
      <name val="Arial"/>
      <family val="2"/>
    </font>
    <font>
      <sz val="12"/>
      <color theme="1"/>
      <name val="Arial"/>
      <family val="2"/>
    </font>
    <font>
      <i/>
      <sz val="12"/>
      <color theme="1"/>
      <name val="Arial"/>
      <family val="2"/>
    </font>
    <font>
      <b/>
      <i/>
      <sz val="12"/>
      <color theme="0" tint="-0.499984740745262"/>
      <name val="Arial"/>
      <family val="2"/>
    </font>
    <font>
      <sz val="12"/>
      <color theme="0" tint="-0.14999847407452621"/>
      <name val="Arial"/>
      <family val="2"/>
    </font>
    <font>
      <sz val="12"/>
      <color rgb="FF92D050"/>
      <name val="Arial"/>
      <family val="2"/>
    </font>
    <font>
      <sz val="12"/>
      <color theme="5" tint="-0.249977111117893"/>
      <name val="Arial"/>
      <family val="2"/>
    </font>
    <font>
      <sz val="12"/>
      <color theme="0" tint="-0.34998626667073579"/>
      <name val="Arial"/>
      <family val="2"/>
    </font>
    <font>
      <sz val="16"/>
      <name val="Arial"/>
      <family val="2"/>
    </font>
    <font>
      <b/>
      <i/>
      <sz val="12"/>
      <color theme="9" tint="-0.249977111117893"/>
      <name val="Arial"/>
      <family val="2"/>
    </font>
    <font>
      <b/>
      <i/>
      <sz val="12"/>
      <color rgb="FF7030A0"/>
      <name val="Arial"/>
      <family val="2"/>
    </font>
    <font>
      <b/>
      <sz val="12"/>
      <color indexed="81"/>
      <name val="微軟正黑體"/>
      <family val="2"/>
      <charset val="136"/>
    </font>
    <font>
      <b/>
      <sz val="14"/>
      <color rgb="FF0000FF"/>
      <name val="Arial"/>
      <family val="2"/>
    </font>
    <font>
      <b/>
      <u/>
      <sz val="12"/>
      <color rgb="FFFF0000"/>
      <name val="Arial"/>
      <family val="2"/>
    </font>
    <font>
      <sz val="11"/>
      <name val="Arial"/>
      <family val="2"/>
    </font>
    <font>
      <sz val="12"/>
      <color rgb="FF0000FF"/>
      <name val="Arial"/>
      <family val="2"/>
    </font>
    <font>
      <b/>
      <sz val="12"/>
      <color rgb="FF00B050"/>
      <name val="Arial"/>
      <family val="2"/>
    </font>
  </fonts>
  <fills count="4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4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42"/>
        <bgColor indexed="27"/>
      </patternFill>
    </fill>
    <fill>
      <patternFill patternType="solid">
        <fgColor indexed="45"/>
        <bgColor indexed="29"/>
      </patternFill>
    </fill>
    <fill>
      <patternFill patternType="solid">
        <fgColor rgb="FFCCFFCC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99FF"/>
        <bgColor indexed="64"/>
      </patternFill>
    </fill>
    <fill>
      <patternFill patternType="gray0625">
        <fgColor theme="5" tint="0.59996337778862885"/>
        <bgColor rgb="FFCCECFF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47">
    <border>
      <left/>
      <right/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86">
    <xf numFmtId="0" fontId="0" fillId="0" borderId="0"/>
    <xf numFmtId="0" fontId="9" fillId="0" borderId="0"/>
    <xf numFmtId="0" fontId="29" fillId="2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9" fillId="0" borderId="0"/>
    <xf numFmtId="0" fontId="10" fillId="0" borderId="0"/>
    <xf numFmtId="0" fontId="7" fillId="0" borderId="0">
      <alignment vertical="center"/>
    </xf>
    <xf numFmtId="0" fontId="31" fillId="16" borderId="0" applyNumberFormat="0" applyBorder="0" applyAlignment="0" applyProtection="0">
      <alignment vertical="center"/>
    </xf>
    <xf numFmtId="0" fontId="32" fillId="0" borderId="1" applyNumberFormat="0" applyFill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4" fillId="17" borderId="2" applyNumberFormat="0" applyAlignment="0" applyProtection="0">
      <alignment vertical="center"/>
    </xf>
    <xf numFmtId="0" fontId="9" fillId="0" borderId="0"/>
    <xf numFmtId="0" fontId="35" fillId="0" borderId="3" applyNumberFormat="0" applyFill="0" applyAlignment="0" applyProtection="0">
      <alignment vertical="center"/>
    </xf>
    <xf numFmtId="0" fontId="7" fillId="18" borderId="4" applyNumberFormat="0" applyFon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5" applyNumberFormat="0" applyFill="0" applyAlignment="0" applyProtection="0">
      <alignment vertical="center"/>
    </xf>
    <xf numFmtId="0" fontId="39" fillId="0" borderId="6" applyNumberFormat="0" applyFill="0" applyAlignment="0" applyProtection="0">
      <alignment vertical="center"/>
    </xf>
    <xf numFmtId="0" fontId="40" fillId="0" borderId="7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7" borderId="2" applyNumberFormat="0" applyAlignment="0" applyProtection="0">
      <alignment vertical="center"/>
    </xf>
    <xf numFmtId="0" fontId="42" fillId="17" borderId="8" applyNumberFormat="0" applyAlignment="0" applyProtection="0">
      <alignment vertical="center"/>
    </xf>
    <xf numFmtId="0" fontId="43" fillId="23" borderId="9" applyNumberFormat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26" fillId="0" borderId="0"/>
    <xf numFmtId="0" fontId="9" fillId="0" borderId="0"/>
    <xf numFmtId="0" fontId="48" fillId="0" borderId="0"/>
    <xf numFmtId="0" fontId="9" fillId="0" borderId="0"/>
    <xf numFmtId="0" fontId="49" fillId="0" borderId="0"/>
    <xf numFmtId="0" fontId="50" fillId="0" borderId="0"/>
    <xf numFmtId="0" fontId="51" fillId="0" borderId="0"/>
    <xf numFmtId="0" fontId="33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3" fillId="35" borderId="0" applyNumberFormat="0" applyBorder="0" applyAlignment="0" applyProtection="0"/>
    <xf numFmtId="0" fontId="6" fillId="0" borderId="0"/>
    <xf numFmtId="0" fontId="38" fillId="0" borderId="5" applyNumberFormat="0" applyFill="0" applyAlignment="0" applyProtection="0"/>
    <xf numFmtId="0" fontId="37" fillId="0" borderId="0" applyNumberFormat="0" applyFill="0" applyBorder="0" applyAlignment="0" applyProtection="0"/>
    <xf numFmtId="0" fontId="26" fillId="0" borderId="0"/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6" borderId="0" applyNumberFormat="0" applyBorder="0" applyAlignment="0" applyProtection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385">
    <xf numFmtId="0" fontId="0" fillId="0" borderId="0" xfId="0"/>
    <xf numFmtId="0" fontId="11" fillId="0" borderId="0" xfId="0" applyFont="1" applyFill="1" applyAlignment="1">
      <alignment vertical="center"/>
    </xf>
    <xf numFmtId="0" fontId="10" fillId="0" borderId="0" xfId="0" applyFont="1" applyBorder="1" applyAlignment="1">
      <alignment vertical="center"/>
    </xf>
    <xf numFmtId="0" fontId="10" fillId="0" borderId="0" xfId="0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0" fillId="0" borderId="0" xfId="0" applyFont="1" applyBorder="1" applyAlignment="1">
      <alignment horizontal="center" vertical="center"/>
    </xf>
    <xf numFmtId="0" fontId="10" fillId="0" borderId="0" xfId="0" applyFont="1"/>
    <xf numFmtId="0" fontId="12" fillId="25" borderId="10" xfId="0" applyFont="1" applyFill="1" applyBorder="1" applyAlignment="1" applyProtection="1">
      <alignment horizontal="center" vertical="center" wrapText="1"/>
    </xf>
    <xf numFmtId="0" fontId="10" fillId="25" borderId="10" xfId="0" applyFont="1" applyFill="1" applyBorder="1" applyAlignment="1">
      <alignment horizontal="center" vertical="center" wrapText="1"/>
    </xf>
    <xf numFmtId="0" fontId="10" fillId="26" borderId="10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vertical="center"/>
    </xf>
    <xf numFmtId="0" fontId="14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vertical="center" wrapText="1"/>
    </xf>
    <xf numFmtId="0" fontId="15" fillId="0" borderId="0" xfId="0" applyFont="1"/>
    <xf numFmtId="0" fontId="10" fillId="0" borderId="0" xfId="0" applyFont="1" applyAlignment="1">
      <alignment horizontal="center"/>
    </xf>
    <xf numFmtId="0" fontId="14" fillId="0" borderId="0" xfId="0" applyFont="1" applyAlignment="1">
      <alignment horizontal="left" vertical="center"/>
    </xf>
    <xf numFmtId="0" fontId="13" fillId="0" borderId="0" xfId="0" applyFont="1" applyAlignment="1">
      <alignment vertical="center"/>
    </xf>
    <xf numFmtId="0" fontId="0" fillId="0" borderId="0" xfId="0" applyAlignment="1">
      <alignment vertical="center"/>
    </xf>
    <xf numFmtId="0" fontId="9" fillId="0" borderId="12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18" fillId="0" borderId="0" xfId="0" applyFont="1" applyBorder="1" applyAlignment="1">
      <alignment horizontal="center" vertical="center"/>
    </xf>
    <xf numFmtId="0" fontId="18" fillId="0" borderId="0" xfId="0" applyFont="1" applyAlignment="1">
      <alignment vertical="center"/>
    </xf>
    <xf numFmtId="0" fontId="18" fillId="0" borderId="0" xfId="0" applyFont="1" applyBorder="1" applyAlignment="1">
      <alignment vertical="center"/>
    </xf>
    <xf numFmtId="0" fontId="17" fillId="0" borderId="0" xfId="0" applyFont="1" applyAlignment="1">
      <alignment horizontal="left"/>
    </xf>
    <xf numFmtId="0" fontId="0" fillId="0" borderId="0" xfId="0" applyBorder="1" applyAlignment="1">
      <alignment vertical="center"/>
    </xf>
    <xf numFmtId="0" fontId="9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vertical="center"/>
    </xf>
    <xf numFmtId="0" fontId="10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Border="1" applyAlignment="1">
      <alignment horizontal="left" vertical="center"/>
    </xf>
    <xf numFmtId="0" fontId="20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0" fontId="11" fillId="0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9" fillId="0" borderId="21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176" fontId="10" fillId="0" borderId="22" xfId="0" applyNumberFormat="1" applyFont="1" applyBorder="1" applyAlignment="1">
      <alignment horizontal="center" vertical="center"/>
    </xf>
    <xf numFmtId="0" fontId="10" fillId="0" borderId="22" xfId="0" applyFont="1" applyBorder="1" applyAlignment="1">
      <alignment horizontal="left" vertical="center" indent="1"/>
    </xf>
    <xf numFmtId="0" fontId="9" fillId="0" borderId="21" xfId="0" applyFont="1" applyBorder="1" applyAlignment="1">
      <alignment horizontal="left" vertical="center"/>
    </xf>
    <xf numFmtId="0" fontId="9" fillId="0" borderId="22" xfId="0" applyFont="1" applyBorder="1" applyAlignment="1">
      <alignment horizontal="left" vertical="center"/>
    </xf>
    <xf numFmtId="0" fontId="22" fillId="0" borderId="0" xfId="0" applyFont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 wrapText="1"/>
    </xf>
    <xf numFmtId="0" fontId="9" fillId="0" borderId="24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16" fillId="27" borderId="28" xfId="0" applyFont="1" applyFill="1" applyBorder="1" applyAlignment="1">
      <alignment vertical="center"/>
    </xf>
    <xf numFmtId="0" fontId="13" fillId="0" borderId="0" xfId="0" applyFont="1" applyAlignment="1">
      <alignment horizontal="left" vertical="center"/>
    </xf>
    <xf numFmtId="0" fontId="9" fillId="0" borderId="22" xfId="0" applyFont="1" applyBorder="1" applyAlignment="1">
      <alignment horizontal="center" vertical="center" shrinkToFit="1"/>
    </xf>
    <xf numFmtId="0" fontId="9" fillId="0" borderId="0" xfId="0" applyFont="1" applyAlignment="1">
      <alignment horizontal="center" vertical="center" shrinkToFit="1"/>
    </xf>
    <xf numFmtId="0" fontId="9" fillId="0" borderId="0" xfId="0" applyFont="1" applyBorder="1" applyAlignment="1">
      <alignment horizontal="center" vertical="center" shrinkToFit="1"/>
    </xf>
    <xf numFmtId="0" fontId="9" fillId="0" borderId="21" xfId="0" applyFont="1" applyBorder="1" applyAlignment="1">
      <alignment horizontal="center" vertical="center" shrinkToFit="1"/>
    </xf>
    <xf numFmtId="0" fontId="10" fillId="0" borderId="0" xfId="0" applyFont="1" applyAlignment="1">
      <alignment vertical="center" shrinkToFit="1"/>
    </xf>
    <xf numFmtId="0" fontId="10" fillId="0" borderId="10" xfId="0" applyFont="1" applyFill="1" applyBorder="1" applyAlignment="1" applyProtection="1">
      <alignment horizontal="center" vertical="center"/>
    </xf>
    <xf numFmtId="0" fontId="10" fillId="0" borderId="34" xfId="0" applyFont="1" applyFill="1" applyBorder="1" applyAlignment="1">
      <alignment vertical="center"/>
    </xf>
    <xf numFmtId="0" fontId="10" fillId="0" borderId="0" xfId="0" applyFont="1" applyFill="1" applyAlignment="1">
      <alignment vertical="center"/>
    </xf>
    <xf numFmtId="0" fontId="10" fillId="0" borderId="0" xfId="0" applyFont="1" applyFill="1" applyAlignment="1">
      <alignment vertical="center" shrinkToFit="1"/>
    </xf>
    <xf numFmtId="0" fontId="16" fillId="0" borderId="34" xfId="0" applyFont="1" applyFill="1" applyBorder="1" applyAlignment="1">
      <alignment horizontal="left" vertical="center"/>
    </xf>
    <xf numFmtId="0" fontId="10" fillId="0" borderId="24" xfId="0" applyFont="1" applyFill="1" applyBorder="1" applyAlignment="1">
      <alignment vertical="center"/>
    </xf>
    <xf numFmtId="0" fontId="10" fillId="0" borderId="15" xfId="0" applyFont="1" applyFill="1" applyBorder="1" applyAlignment="1">
      <alignment vertical="center"/>
    </xf>
    <xf numFmtId="0" fontId="11" fillId="0" borderId="0" xfId="0" applyFont="1" applyFill="1" applyAlignment="1">
      <alignment horizontal="center" vertical="center"/>
    </xf>
    <xf numFmtId="0" fontId="10" fillId="0" borderId="16" xfId="0" applyFont="1" applyFill="1" applyBorder="1" applyAlignment="1">
      <alignment horizontal="center" vertical="center" shrinkToFit="1"/>
    </xf>
    <xf numFmtId="0" fontId="10" fillId="27" borderId="16" xfId="0" applyFont="1" applyFill="1" applyBorder="1" applyAlignment="1">
      <alignment horizontal="center" vertical="center" shrinkToFit="1"/>
    </xf>
    <xf numFmtId="0" fontId="10" fillId="0" borderId="23" xfId="0" applyFont="1" applyBorder="1" applyAlignment="1">
      <alignment horizontal="center" vertical="center" shrinkToFit="1"/>
    </xf>
    <xf numFmtId="0" fontId="10" fillId="0" borderId="17" xfId="0" applyFont="1" applyBorder="1" applyAlignment="1">
      <alignment horizontal="center" vertical="center" shrinkToFit="1"/>
    </xf>
    <xf numFmtId="0" fontId="26" fillId="0" borderId="0" xfId="0" applyFont="1" applyAlignment="1">
      <alignment vertical="center"/>
    </xf>
    <xf numFmtId="0" fontId="10" fillId="0" borderId="0" xfId="0" applyFont="1" applyFill="1" applyBorder="1" applyAlignment="1">
      <alignment vertical="center" shrinkToFit="1"/>
    </xf>
    <xf numFmtId="0" fontId="10" fillId="0" borderId="0" xfId="0" applyFont="1" applyFill="1" applyBorder="1" applyAlignment="1">
      <alignment horizontal="center" vertical="center" shrinkToFit="1"/>
    </xf>
    <xf numFmtId="0" fontId="10" fillId="30" borderId="11" xfId="0" applyFont="1" applyFill="1" applyBorder="1" applyAlignment="1">
      <alignment horizontal="center" vertical="center" shrinkToFit="1"/>
    </xf>
    <xf numFmtId="49" fontId="10" fillId="0" borderId="0" xfId="0" applyNumberFormat="1" applyFont="1" applyAlignment="1">
      <alignment vertical="center"/>
    </xf>
    <xf numFmtId="49" fontId="10" fillId="0" borderId="0" xfId="0" applyNumberFormat="1" applyFont="1"/>
    <xf numFmtId="49" fontId="10" fillId="0" borderId="22" xfId="0" applyNumberFormat="1" applyFont="1" applyBorder="1" applyAlignment="1">
      <alignment horizontal="center" vertical="center"/>
    </xf>
    <xf numFmtId="0" fontId="10" fillId="28" borderId="10" xfId="0" applyFont="1" applyFill="1" applyBorder="1" applyAlignment="1">
      <alignment horizontal="center" vertical="center" wrapText="1"/>
    </xf>
    <xf numFmtId="0" fontId="9" fillId="0" borderId="38" xfId="0" applyFont="1" applyBorder="1" applyAlignment="1">
      <alignment horizontal="center" vertical="center"/>
    </xf>
    <xf numFmtId="0" fontId="9" fillId="0" borderId="21" xfId="0" applyFont="1" applyBorder="1" applyAlignment="1">
      <alignment horizontal="left" vertical="center" shrinkToFit="1"/>
    </xf>
    <xf numFmtId="0" fontId="9" fillId="0" borderId="22" xfId="0" applyFont="1" applyBorder="1" applyAlignment="1">
      <alignment horizontal="left" vertical="center" shrinkToFit="1"/>
    </xf>
    <xf numFmtId="0" fontId="9" fillId="0" borderId="0" xfId="0" applyFont="1" applyBorder="1" applyAlignment="1">
      <alignment horizontal="left" vertical="center" shrinkToFit="1"/>
    </xf>
    <xf numFmtId="0" fontId="10" fillId="29" borderId="31" xfId="0" applyFont="1" applyFill="1" applyBorder="1" applyAlignment="1">
      <alignment vertical="center"/>
    </xf>
    <xf numFmtId="0" fontId="9" fillId="0" borderId="18" xfId="0" applyFont="1" applyBorder="1" applyAlignment="1">
      <alignment horizontal="center" vertical="center"/>
    </xf>
    <xf numFmtId="0" fontId="24" fillId="0" borderId="0" xfId="0" applyFont="1" applyBorder="1" applyAlignment="1">
      <alignment horizontal="left" vertical="center" indent="2"/>
    </xf>
    <xf numFmtId="0" fontId="25" fillId="0" borderId="0" xfId="0" applyFont="1" applyBorder="1" applyAlignment="1">
      <alignment vertical="center"/>
    </xf>
    <xf numFmtId="0" fontId="25" fillId="0" borderId="0" xfId="0" applyFont="1" applyBorder="1" applyAlignment="1">
      <alignment horizontal="left" vertical="center" indent="2"/>
    </xf>
    <xf numFmtId="0" fontId="19" fillId="0" borderId="0" xfId="0" applyFont="1" applyAlignment="1">
      <alignment vertical="center"/>
    </xf>
    <xf numFmtId="0" fontId="26" fillId="0" borderId="0" xfId="0" applyFont="1" applyBorder="1" applyAlignment="1">
      <alignment vertical="center"/>
    </xf>
    <xf numFmtId="0" fontId="26" fillId="0" borderId="0" xfId="0" applyFont="1" applyBorder="1" applyAlignment="1">
      <alignment horizontal="left" vertical="center"/>
    </xf>
    <xf numFmtId="0" fontId="10" fillId="0" borderId="0" xfId="1" applyFont="1" applyAlignment="1">
      <alignment vertical="center"/>
    </xf>
    <xf numFmtId="0" fontId="9" fillId="0" borderId="38" xfId="0" applyFont="1" applyBorder="1" applyAlignment="1">
      <alignment horizontal="left" vertical="center"/>
    </xf>
    <xf numFmtId="0" fontId="10" fillId="27" borderId="10" xfId="0" applyFont="1" applyFill="1" applyBorder="1" applyAlignment="1">
      <alignment horizontal="center" vertical="center" shrinkToFit="1"/>
    </xf>
    <xf numFmtId="0" fontId="10" fillId="0" borderId="10" xfId="0" applyFont="1" applyFill="1" applyBorder="1" applyAlignment="1">
      <alignment horizontal="center" vertical="center" shrinkToFit="1"/>
    </xf>
    <xf numFmtId="0" fontId="10" fillId="0" borderId="24" xfId="21" applyFont="1" applyFill="1" applyBorder="1" applyAlignment="1">
      <alignment vertical="center"/>
    </xf>
    <xf numFmtId="0" fontId="10" fillId="0" borderId="10" xfId="0" applyFont="1" applyFill="1" applyBorder="1" applyAlignment="1">
      <alignment horizontal="center" vertical="center"/>
    </xf>
    <xf numFmtId="0" fontId="0" fillId="0" borderId="0" xfId="0" applyAlignment="1">
      <alignment vertical="center" shrinkToFit="1"/>
    </xf>
    <xf numFmtId="0" fontId="26" fillId="0" borderId="0" xfId="0" applyFont="1" applyAlignment="1">
      <alignment vertical="center" shrinkToFit="1"/>
    </xf>
    <xf numFmtId="0" fontId="9" fillId="0" borderId="13" xfId="0" applyFont="1" applyBorder="1" applyAlignment="1">
      <alignment horizontal="center" vertical="center" shrinkToFit="1"/>
    </xf>
    <xf numFmtId="0" fontId="9" fillId="0" borderId="38" xfId="0" applyFont="1" applyBorder="1" applyAlignment="1">
      <alignment horizontal="center" vertical="center" shrinkToFit="1"/>
    </xf>
    <xf numFmtId="0" fontId="20" fillId="32" borderId="10" xfId="0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10" fillId="0" borderId="0" xfId="0" applyFont="1" applyBorder="1" applyAlignment="1">
      <alignment horizontal="left" vertical="center"/>
    </xf>
    <xf numFmtId="0" fontId="10" fillId="0" borderId="0" xfId="22" applyFont="1">
      <alignment vertical="center"/>
    </xf>
    <xf numFmtId="0" fontId="10" fillId="0" borderId="0" xfId="22" applyFont="1" applyBorder="1">
      <alignment vertical="center"/>
    </xf>
    <xf numFmtId="0" fontId="10" fillId="0" borderId="0" xfId="0" applyFont="1" applyAlignment="1">
      <alignment horizontal="center" vertical="center" shrinkToFit="1"/>
    </xf>
    <xf numFmtId="0" fontId="47" fillId="37" borderId="11" xfId="0" applyFont="1" applyFill="1" applyBorder="1" applyAlignment="1">
      <alignment vertical="center" shrinkToFit="1"/>
    </xf>
    <xf numFmtId="0" fontId="47" fillId="0" borderId="11" xfId="0" applyFont="1" applyFill="1" applyBorder="1" applyAlignment="1">
      <alignment vertical="center" shrinkToFit="1"/>
    </xf>
    <xf numFmtId="0" fontId="10" fillId="37" borderId="10" xfId="0" applyFont="1" applyFill="1" applyBorder="1" applyAlignment="1" applyProtection="1">
      <alignment horizontal="center" vertical="center"/>
    </xf>
    <xf numFmtId="0" fontId="10" fillId="30" borderId="10" xfId="0" applyFont="1" applyFill="1" applyBorder="1" applyAlignment="1" applyProtection="1">
      <alignment horizontal="center" vertical="center"/>
    </xf>
    <xf numFmtId="0" fontId="10" fillId="30" borderId="10" xfId="0" applyFont="1" applyFill="1" applyBorder="1" applyAlignment="1">
      <alignment horizontal="center" vertical="center"/>
    </xf>
    <xf numFmtId="0" fontId="10" fillId="25" borderId="10" xfId="0" applyFont="1" applyFill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15" fillId="0" borderId="0" xfId="0" applyFont="1" applyBorder="1" applyAlignment="1" applyProtection="1">
      <alignment horizontal="left" vertical="center"/>
    </xf>
    <xf numFmtId="0" fontId="0" fillId="0" borderId="0" xfId="0" applyProtection="1"/>
    <xf numFmtId="0" fontId="10" fillId="0" borderId="0" xfId="0" applyFont="1" applyAlignment="1" applyProtection="1">
      <alignment vertical="center"/>
    </xf>
    <xf numFmtId="0" fontId="16" fillId="0" borderId="0" xfId="0" applyFont="1" applyBorder="1" applyAlignment="1" applyProtection="1">
      <alignment horizontal="left" vertical="center" indent="1"/>
    </xf>
    <xf numFmtId="49" fontId="16" fillId="0" borderId="0" xfId="1" applyNumberFormat="1" applyFont="1" applyAlignment="1" applyProtection="1">
      <alignment horizontal="left" vertical="center" indent="1"/>
    </xf>
    <xf numFmtId="0" fontId="14" fillId="0" borderId="0" xfId="0" applyFont="1" applyBorder="1" applyAlignment="1" applyProtection="1">
      <alignment horizontal="left" vertical="center" indent="1"/>
    </xf>
    <xf numFmtId="0" fontId="20" fillId="32" borderId="10" xfId="0" applyFont="1" applyFill="1" applyBorder="1" applyAlignment="1" applyProtection="1">
      <alignment horizontal="center" vertical="center"/>
    </xf>
    <xf numFmtId="0" fontId="21" fillId="0" borderId="10" xfId="0" applyFont="1" applyBorder="1" applyAlignment="1" applyProtection="1">
      <alignment horizontal="center" vertical="center"/>
    </xf>
    <xf numFmtId="0" fontId="52" fillId="0" borderId="10" xfId="0" applyFont="1" applyBorder="1" applyAlignment="1" applyProtection="1">
      <alignment horizontal="center" vertical="center"/>
    </xf>
    <xf numFmtId="0" fontId="16" fillId="0" borderId="0" xfId="1" applyFont="1" applyBorder="1" applyAlignment="1" applyProtection="1">
      <alignment horizontal="left" vertical="center" indent="1"/>
    </xf>
    <xf numFmtId="0" fontId="10" fillId="0" borderId="0" xfId="1" applyFont="1" applyAlignment="1" applyProtection="1">
      <alignment horizontal="left" vertical="center" indent="1"/>
    </xf>
    <xf numFmtId="0" fontId="47" fillId="0" borderId="0" xfId="0" applyFont="1" applyAlignment="1">
      <alignment vertical="center"/>
    </xf>
    <xf numFmtId="0" fontId="59" fillId="0" borderId="0" xfId="0" applyFont="1" applyAlignment="1">
      <alignment vertical="center"/>
    </xf>
    <xf numFmtId="0" fontId="59" fillId="0" borderId="0" xfId="0" applyFont="1" applyAlignment="1">
      <alignment horizontal="left" vertical="center"/>
    </xf>
    <xf numFmtId="0" fontId="59" fillId="0" borderId="0" xfId="0" applyFont="1" applyAlignment="1">
      <alignment horizontal="center" vertical="center" shrinkToFit="1"/>
    </xf>
    <xf numFmtId="0" fontId="10" fillId="31" borderId="10" xfId="0" quotePrefix="1" applyFont="1" applyFill="1" applyBorder="1" applyAlignment="1" applyProtection="1">
      <alignment horizontal="center" vertical="center" shrinkToFit="1"/>
      <protection locked="0"/>
    </xf>
    <xf numFmtId="0" fontId="10" fillId="31" borderId="10" xfId="0" quotePrefix="1" applyFont="1" applyFill="1" applyBorder="1" applyAlignment="1">
      <alignment horizontal="center" vertical="center" shrinkToFit="1"/>
    </xf>
    <xf numFmtId="0" fontId="58" fillId="0" borderId="0" xfId="0" applyFont="1" applyBorder="1" applyAlignment="1" applyProtection="1">
      <alignment horizontal="left" vertical="center"/>
    </xf>
    <xf numFmtId="0" fontId="0" fillId="0" borderId="0" xfId="0" applyAlignment="1" applyProtection="1"/>
    <xf numFmtId="0" fontId="52" fillId="0" borderId="0" xfId="0" applyFont="1" applyBorder="1" applyAlignment="1" applyProtection="1">
      <alignment horizontal="left" vertical="center" indent="1"/>
    </xf>
    <xf numFmtId="0" fontId="60" fillId="39" borderId="10" xfId="0" applyFont="1" applyFill="1" applyBorder="1" applyAlignment="1" applyProtection="1">
      <alignment horizontal="center" vertical="center"/>
    </xf>
    <xf numFmtId="0" fontId="61" fillId="0" borderId="0" xfId="0" applyFont="1" applyFill="1" applyBorder="1" applyAlignment="1">
      <alignment vertical="center"/>
    </xf>
    <xf numFmtId="0" fontId="61" fillId="0" borderId="0" xfId="0" applyFont="1" applyFill="1" applyBorder="1" applyAlignment="1">
      <alignment horizontal="center" vertical="center"/>
    </xf>
    <xf numFmtId="0" fontId="61" fillId="0" borderId="10" xfId="0" applyFont="1" applyFill="1" applyBorder="1" applyAlignment="1">
      <alignment horizontal="center" vertical="center" shrinkToFit="1"/>
    </xf>
    <xf numFmtId="0" fontId="61" fillId="0" borderId="10" xfId="0" applyFont="1" applyFill="1" applyBorder="1" applyAlignment="1">
      <alignment horizontal="center" vertical="center"/>
    </xf>
    <xf numFmtId="0" fontId="61" fillId="0" borderId="10" xfId="0" applyFont="1" applyFill="1" applyBorder="1" applyAlignment="1">
      <alignment horizontal="center" vertical="center" wrapText="1"/>
    </xf>
    <xf numFmtId="49" fontId="61" fillId="0" borderId="10" xfId="0" applyNumberFormat="1" applyFont="1" applyFill="1" applyBorder="1" applyAlignment="1">
      <alignment horizontal="center" vertical="center"/>
    </xf>
    <xf numFmtId="0" fontId="61" fillId="0" borderId="10" xfId="20" applyFont="1" applyFill="1" applyBorder="1" applyAlignment="1">
      <alignment horizontal="center" vertical="center" shrinkToFit="1"/>
    </xf>
    <xf numFmtId="0" fontId="62" fillId="0" borderId="34" xfId="0" applyFont="1" applyFill="1" applyBorder="1" applyAlignment="1">
      <alignment horizontal="left" vertical="center"/>
    </xf>
    <xf numFmtId="0" fontId="9" fillId="0" borderId="0" xfId="0" applyFont="1" applyAlignment="1">
      <alignment vertical="center" shrinkToFit="1"/>
    </xf>
    <xf numFmtId="0" fontId="16" fillId="34" borderId="25" xfId="0" applyFont="1" applyFill="1" applyBorder="1" applyAlignment="1">
      <alignment horizontal="center" vertical="center"/>
    </xf>
    <xf numFmtId="0" fontId="16" fillId="34" borderId="25" xfId="0" applyFont="1" applyFill="1" applyBorder="1" applyAlignment="1">
      <alignment horizontal="center" vertical="center" shrinkToFit="1"/>
    </xf>
    <xf numFmtId="0" fontId="63" fillId="34" borderId="25" xfId="0" applyFont="1" applyFill="1" applyBorder="1" applyAlignment="1">
      <alignment horizontal="center" vertical="center"/>
    </xf>
    <xf numFmtId="176" fontId="10" fillId="0" borderId="22" xfId="0" applyNumberFormat="1" applyFont="1" applyBorder="1" applyAlignment="1">
      <alignment horizontal="left" vertical="center"/>
    </xf>
    <xf numFmtId="49" fontId="10" fillId="0" borderId="22" xfId="0" applyNumberFormat="1" applyFont="1" applyBorder="1" applyAlignment="1">
      <alignment horizontal="left" vertical="center"/>
    </xf>
    <xf numFmtId="49" fontId="10" fillId="0" borderId="0" xfId="0" applyNumberFormat="1" applyFont="1" applyAlignment="1">
      <alignment horizontal="left" vertical="center"/>
    </xf>
    <xf numFmtId="0" fontId="64" fillId="0" borderId="0" xfId="0" applyFont="1" applyAlignment="1">
      <alignment vertical="center"/>
    </xf>
    <xf numFmtId="0" fontId="66" fillId="0" borderId="0" xfId="0" applyFont="1" applyFill="1" applyAlignment="1">
      <alignment horizontal="center" vertical="center"/>
    </xf>
    <xf numFmtId="0" fontId="65" fillId="0" borderId="0" xfId="0" applyFont="1" applyFill="1" applyAlignment="1">
      <alignment horizontal="center" vertical="center"/>
    </xf>
    <xf numFmtId="0" fontId="66" fillId="0" borderId="0" xfId="0" applyFont="1" applyAlignment="1">
      <alignment horizontal="center" vertical="center"/>
    </xf>
    <xf numFmtId="0" fontId="65" fillId="0" borderId="0" xfId="0" applyFont="1" applyAlignment="1">
      <alignment horizontal="center" vertical="center"/>
    </xf>
    <xf numFmtId="0" fontId="10" fillId="0" borderId="0" xfId="0" applyFont="1" applyFill="1" applyAlignment="1">
      <alignment horizontal="center" vertical="center"/>
    </xf>
    <xf numFmtId="0" fontId="67" fillId="0" borderId="0" xfId="0" applyFont="1" applyFill="1" applyAlignment="1">
      <alignment horizontal="center" vertical="center"/>
    </xf>
    <xf numFmtId="0" fontId="67" fillId="0" borderId="0" xfId="0" applyFont="1" applyAlignment="1">
      <alignment horizontal="center" vertical="center"/>
    </xf>
    <xf numFmtId="0" fontId="64" fillId="0" borderId="0" xfId="0" applyFont="1" applyAlignment="1" applyProtection="1">
      <alignment horizontal="center" vertical="center"/>
      <protection locked="0"/>
    </xf>
    <xf numFmtId="0" fontId="10" fillId="42" borderId="10" xfId="0" applyFont="1" applyFill="1" applyBorder="1" applyAlignment="1">
      <alignment horizontal="center" vertical="center" shrinkToFit="1"/>
    </xf>
    <xf numFmtId="0" fontId="10" fillId="42" borderId="23" xfId="0" applyFont="1" applyFill="1" applyBorder="1" applyAlignment="1">
      <alignment horizontal="center" vertical="center" shrinkToFit="1"/>
    </xf>
    <xf numFmtId="0" fontId="68" fillId="0" borderId="0" xfId="0" applyFont="1" applyAlignment="1">
      <alignment horizontal="left" vertical="center"/>
    </xf>
    <xf numFmtId="0" fontId="64" fillId="0" borderId="0" xfId="0" applyFont="1" applyAlignment="1">
      <alignment horizontal="center" vertical="center"/>
    </xf>
    <xf numFmtId="0" fontId="10" fillId="25" borderId="10" xfId="0" applyFont="1" applyFill="1" applyBorder="1" applyAlignment="1">
      <alignment horizontal="center" vertical="center"/>
    </xf>
    <xf numFmtId="0" fontId="10" fillId="38" borderId="10" xfId="0" applyFont="1" applyFill="1" applyBorder="1" applyAlignment="1" applyProtection="1">
      <alignment horizontal="center" vertical="center"/>
    </xf>
    <xf numFmtId="0" fontId="10" fillId="24" borderId="10" xfId="0" applyFont="1" applyFill="1" applyBorder="1" applyAlignment="1" applyProtection="1">
      <alignment horizontal="center" vertical="center"/>
    </xf>
    <xf numFmtId="0" fontId="64" fillId="0" borderId="0" xfId="0" applyFont="1" applyAlignment="1">
      <alignment horizontal="center" vertical="center"/>
    </xf>
    <xf numFmtId="0" fontId="69" fillId="0" borderId="0" xfId="0" applyFont="1" applyBorder="1" applyAlignment="1" applyProtection="1">
      <alignment horizontal="left" vertical="center" indent="1"/>
    </xf>
    <xf numFmtId="0" fontId="58" fillId="0" borderId="0" xfId="0" applyFont="1" applyBorder="1" applyAlignment="1" applyProtection="1">
      <alignment horizontal="left" vertical="center" indent="1"/>
    </xf>
    <xf numFmtId="0" fontId="70" fillId="0" borderId="0" xfId="0" applyFont="1" applyBorder="1" applyAlignment="1" applyProtection="1">
      <alignment horizontal="left" vertical="center" indent="1"/>
    </xf>
    <xf numFmtId="176" fontId="47" fillId="0" borderId="22" xfId="0" applyNumberFormat="1" applyFont="1" applyBorder="1" applyAlignment="1">
      <alignment horizontal="center" vertical="center"/>
    </xf>
    <xf numFmtId="0" fontId="16" fillId="0" borderId="0" xfId="0" applyFont="1" applyBorder="1" applyAlignment="1" applyProtection="1">
      <alignment horizontal="left" vertical="center"/>
      <protection locked="0"/>
    </xf>
    <xf numFmtId="0" fontId="0" fillId="0" borderId="0" xfId="0" applyAlignment="1" applyProtection="1">
      <protection locked="0"/>
    </xf>
    <xf numFmtId="0" fontId="10" fillId="24" borderId="10" xfId="0" applyFont="1" applyFill="1" applyBorder="1" applyAlignment="1" applyProtection="1">
      <alignment horizontal="center" vertical="center"/>
    </xf>
    <xf numFmtId="0" fontId="10" fillId="0" borderId="29" xfId="0" applyFont="1" applyBorder="1" applyAlignment="1">
      <alignment horizontal="center" vertical="center" shrinkToFit="1"/>
    </xf>
    <xf numFmtId="0" fontId="10" fillId="0" borderId="11" xfId="0" applyFont="1" applyBorder="1" applyAlignment="1">
      <alignment horizontal="center" vertical="center" shrinkToFit="1"/>
    </xf>
    <xf numFmtId="0" fontId="10" fillId="0" borderId="10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30" borderId="10" xfId="0" applyFont="1" applyFill="1" applyBorder="1" applyAlignment="1">
      <alignment horizontal="center" vertical="center" shrinkToFit="1"/>
    </xf>
    <xf numFmtId="0" fontId="10" fillId="0" borderId="10" xfId="0" applyFont="1" applyBorder="1" applyAlignment="1">
      <alignment horizontal="center" vertical="center" shrinkToFit="1"/>
    </xf>
    <xf numFmtId="0" fontId="10" fillId="0" borderId="10" xfId="0" applyFont="1" applyFill="1" applyBorder="1" applyAlignment="1" applyProtection="1">
      <alignment horizontal="center" vertical="center" shrinkToFit="1"/>
    </xf>
    <xf numFmtId="0" fontId="10" fillId="0" borderId="10" xfId="0" applyFont="1" applyFill="1" applyBorder="1" applyAlignment="1" applyProtection="1">
      <alignment horizontal="center" vertical="center" shrinkToFit="1"/>
      <protection locked="0"/>
    </xf>
    <xf numFmtId="0" fontId="10" fillId="0" borderId="29" xfId="0" applyFont="1" applyBorder="1" applyAlignment="1">
      <alignment vertical="center" shrinkToFit="1"/>
    </xf>
    <xf numFmtId="0" fontId="10" fillId="0" borderId="11" xfId="0" applyFont="1" applyBorder="1" applyAlignment="1">
      <alignment vertical="center" shrinkToFit="1"/>
    </xf>
    <xf numFmtId="0" fontId="10" fillId="0" borderId="10" xfId="0" applyFont="1" applyFill="1" applyBorder="1" applyAlignment="1">
      <alignment vertical="center"/>
    </xf>
    <xf numFmtId="0" fontId="10" fillId="0" borderId="10" xfId="0" applyFont="1" applyFill="1" applyBorder="1" applyAlignment="1" applyProtection="1">
      <alignment horizontal="center" vertical="center" shrinkToFit="1"/>
      <protection locked="0"/>
    </xf>
    <xf numFmtId="0" fontId="10" fillId="0" borderId="29" xfId="0" applyFont="1" applyFill="1" applyBorder="1" applyAlignment="1">
      <alignment horizontal="center" vertical="center" shrinkToFit="1"/>
    </xf>
    <xf numFmtId="0" fontId="10" fillId="0" borderId="11" xfId="0" applyFont="1" applyFill="1" applyBorder="1" applyAlignment="1">
      <alignment horizontal="center" vertical="center" shrinkToFit="1"/>
    </xf>
    <xf numFmtId="0" fontId="64" fillId="0" borderId="0" xfId="0" applyFont="1" applyAlignment="1">
      <alignment horizontal="center" vertical="center"/>
    </xf>
    <xf numFmtId="0" fontId="58" fillId="0" borderId="0" xfId="0" applyFont="1" applyBorder="1" applyAlignment="1" applyProtection="1">
      <alignment horizontal="left" vertical="center"/>
      <protection locked="0"/>
    </xf>
    <xf numFmtId="0" fontId="10" fillId="0" borderId="0" xfId="0" applyFont="1" applyBorder="1" applyAlignment="1" applyProtection="1">
      <alignment horizontal="left" vertical="center"/>
      <protection locked="0"/>
    </xf>
    <xf numFmtId="0" fontId="58" fillId="0" borderId="0" xfId="0" applyFont="1" applyAlignment="1" applyProtection="1">
      <alignment horizontal="left" vertical="center" indent="1"/>
    </xf>
    <xf numFmtId="0" fontId="73" fillId="0" borderId="0" xfId="0" applyFont="1" applyAlignment="1" applyProtection="1">
      <alignment horizontal="left" vertical="center" indent="1"/>
    </xf>
    <xf numFmtId="0" fontId="52" fillId="34" borderId="25" xfId="0" applyFont="1" applyFill="1" applyBorder="1" applyAlignment="1">
      <alignment horizontal="center" vertical="center"/>
    </xf>
    <xf numFmtId="0" fontId="10" fillId="40" borderId="10" xfId="0" applyFont="1" applyFill="1" applyBorder="1" applyAlignment="1">
      <alignment horizontal="center" vertical="center" wrapText="1"/>
    </xf>
    <xf numFmtId="0" fontId="64" fillId="0" borderId="0" xfId="0" applyFont="1" applyAlignment="1">
      <alignment horizontal="center" vertical="center"/>
    </xf>
    <xf numFmtId="0" fontId="74" fillId="0" borderId="46" xfId="0" applyFont="1" applyBorder="1" applyAlignment="1">
      <alignment horizontal="center" vertical="center" wrapText="1"/>
    </xf>
    <xf numFmtId="0" fontId="10" fillId="43" borderId="10" xfId="0" applyFont="1" applyFill="1" applyBorder="1" applyAlignment="1">
      <alignment horizontal="center" vertical="center" wrapText="1"/>
    </xf>
    <xf numFmtId="0" fontId="10" fillId="45" borderId="10" xfId="0" applyFont="1" applyFill="1" applyBorder="1" applyAlignment="1">
      <alignment horizontal="center" vertical="center" wrapText="1"/>
    </xf>
    <xf numFmtId="0" fontId="10" fillId="46" borderId="10" xfId="0" applyFont="1" applyFill="1" applyBorder="1" applyAlignment="1">
      <alignment horizontal="center" vertical="center" wrapText="1"/>
    </xf>
    <xf numFmtId="0" fontId="10" fillId="47" borderId="10" xfId="0" applyFont="1" applyFill="1" applyBorder="1" applyAlignment="1">
      <alignment horizontal="center" vertical="center" wrapText="1"/>
    </xf>
    <xf numFmtId="0" fontId="9" fillId="47" borderId="22" xfId="0" applyFont="1" applyFill="1" applyBorder="1" applyAlignment="1">
      <alignment horizontal="center" vertical="center"/>
    </xf>
    <xf numFmtId="0" fontId="9" fillId="47" borderId="22" xfId="0" applyFont="1" applyFill="1" applyBorder="1" applyAlignment="1">
      <alignment horizontal="left" vertical="center" shrinkToFit="1"/>
    </xf>
    <xf numFmtId="0" fontId="9" fillId="47" borderId="22" xfId="0" applyFont="1" applyFill="1" applyBorder="1" applyAlignment="1">
      <alignment horizontal="center" vertical="center" shrinkToFit="1"/>
    </xf>
    <xf numFmtId="0" fontId="9" fillId="44" borderId="22" xfId="0" applyFont="1" applyFill="1" applyBorder="1" applyAlignment="1">
      <alignment horizontal="center" vertical="center"/>
    </xf>
    <xf numFmtId="0" fontId="9" fillId="44" borderId="22" xfId="0" applyFont="1" applyFill="1" applyBorder="1" applyAlignment="1">
      <alignment horizontal="left" vertical="center" shrinkToFit="1"/>
    </xf>
    <xf numFmtId="0" fontId="9" fillId="44" borderId="22" xfId="0" applyFont="1" applyFill="1" applyBorder="1" applyAlignment="1">
      <alignment horizontal="center" vertical="center" shrinkToFit="1"/>
    </xf>
    <xf numFmtId="0" fontId="10" fillId="48" borderId="10" xfId="0" applyFont="1" applyFill="1" applyBorder="1" applyAlignment="1">
      <alignment horizontal="center" vertical="center" wrapText="1"/>
    </xf>
    <xf numFmtId="0" fontId="9" fillId="48" borderId="22" xfId="0" applyFont="1" applyFill="1" applyBorder="1" applyAlignment="1">
      <alignment horizontal="center" vertical="center"/>
    </xf>
    <xf numFmtId="0" fontId="9" fillId="48" borderId="22" xfId="0" applyFont="1" applyFill="1" applyBorder="1" applyAlignment="1">
      <alignment horizontal="left" vertical="center" shrinkToFit="1"/>
    </xf>
    <xf numFmtId="0" fontId="9" fillId="48" borderId="22" xfId="0" applyFont="1" applyFill="1" applyBorder="1" applyAlignment="1">
      <alignment horizontal="center" vertical="center" shrinkToFit="1"/>
    </xf>
    <xf numFmtId="0" fontId="9" fillId="46" borderId="22" xfId="0" applyFont="1" applyFill="1" applyBorder="1" applyAlignment="1">
      <alignment horizontal="center" vertical="center"/>
    </xf>
    <xf numFmtId="0" fontId="9" fillId="46" borderId="22" xfId="0" applyFont="1" applyFill="1" applyBorder="1" applyAlignment="1">
      <alignment horizontal="left" vertical="center" shrinkToFit="1"/>
    </xf>
    <xf numFmtId="0" fontId="9" fillId="46" borderId="22" xfId="0" applyFont="1" applyFill="1" applyBorder="1" applyAlignment="1">
      <alignment horizontal="center" vertical="center" shrinkToFit="1"/>
    </xf>
    <xf numFmtId="0" fontId="10" fillId="0" borderId="10" xfId="0" applyFont="1" applyFill="1" applyBorder="1" applyAlignment="1" applyProtection="1">
      <alignment horizontal="center" vertical="center" wrapText="1"/>
      <protection locked="0"/>
    </xf>
    <xf numFmtId="0" fontId="10" fillId="0" borderId="10" xfId="0" applyFont="1" applyFill="1" applyBorder="1" applyAlignment="1">
      <alignment vertical="center"/>
    </xf>
    <xf numFmtId="0" fontId="10" fillId="40" borderId="10" xfId="0" applyFont="1" applyFill="1" applyBorder="1" applyAlignment="1" applyProtection="1">
      <alignment horizontal="center" vertical="center" wrapText="1"/>
    </xf>
    <xf numFmtId="0" fontId="10" fillId="40" borderId="10" xfId="0" applyNumberFormat="1" applyFont="1" applyFill="1" applyBorder="1" applyAlignment="1" applyProtection="1">
      <alignment horizontal="center" vertical="center" wrapText="1"/>
      <protection locked="0"/>
    </xf>
    <xf numFmtId="0" fontId="10" fillId="40" borderId="10" xfId="0" applyNumberFormat="1" applyFont="1" applyFill="1" applyBorder="1" applyAlignment="1">
      <alignment horizontal="center" vertical="center" wrapText="1"/>
    </xf>
    <xf numFmtId="0" fontId="10" fillId="40" borderId="10" xfId="0" applyFont="1" applyFill="1" applyBorder="1" applyAlignment="1" applyProtection="1">
      <alignment horizontal="center" vertical="center" shrinkToFit="1"/>
      <protection locked="0"/>
    </xf>
    <xf numFmtId="0" fontId="10" fillId="40" borderId="10" xfId="0" applyFont="1" applyFill="1" applyBorder="1" applyAlignment="1">
      <alignment vertical="center" shrinkToFit="1"/>
    </xf>
    <xf numFmtId="0" fontId="10" fillId="0" borderId="26" xfId="0" applyFont="1" applyFill="1" applyBorder="1" applyAlignment="1" applyProtection="1">
      <alignment horizontal="center" vertical="center" wrapText="1"/>
      <protection locked="0"/>
    </xf>
    <xf numFmtId="0" fontId="10" fillId="0" borderId="29" xfId="0" applyFont="1" applyFill="1" applyBorder="1" applyAlignment="1" applyProtection="1">
      <alignment horizontal="center" vertical="center" wrapText="1"/>
      <protection locked="0"/>
    </xf>
    <xf numFmtId="0" fontId="10" fillId="0" borderId="11" xfId="0" applyFont="1" applyFill="1" applyBorder="1" applyAlignment="1" applyProtection="1">
      <alignment horizontal="center" vertical="center" wrapText="1"/>
      <protection locked="0"/>
    </xf>
    <xf numFmtId="0" fontId="10" fillId="0" borderId="10" xfId="0" applyFont="1" applyFill="1" applyBorder="1" applyAlignment="1">
      <alignment horizontal="center" vertical="center" wrapText="1"/>
    </xf>
    <xf numFmtId="0" fontId="10" fillId="40" borderId="10" xfId="0" applyFont="1" applyFill="1" applyBorder="1" applyAlignment="1" applyProtection="1">
      <alignment horizontal="center" vertical="center" wrapText="1"/>
      <protection locked="0"/>
    </xf>
    <xf numFmtId="0" fontId="10" fillId="40" borderId="10" xfId="0" applyFont="1" applyFill="1" applyBorder="1" applyAlignment="1">
      <alignment horizontal="center" vertical="center" wrapText="1"/>
    </xf>
    <xf numFmtId="0" fontId="10" fillId="40" borderId="10" xfId="0" applyFont="1" applyFill="1" applyBorder="1" applyAlignment="1">
      <alignment vertical="center"/>
    </xf>
    <xf numFmtId="9" fontId="10" fillId="0" borderId="10" xfId="0" applyNumberFormat="1" applyFont="1" applyFill="1" applyBorder="1" applyAlignment="1" applyProtection="1">
      <alignment horizontal="center" vertical="center" wrapText="1"/>
      <protection locked="0"/>
    </xf>
    <xf numFmtId="0" fontId="10" fillId="38" borderId="10" xfId="0" applyFont="1" applyFill="1" applyBorder="1" applyAlignment="1" applyProtection="1">
      <alignment horizontal="center" vertical="center" wrapText="1"/>
    </xf>
    <xf numFmtId="0" fontId="10" fillId="38" borderId="10" xfId="0" applyFont="1" applyFill="1" applyBorder="1" applyAlignment="1">
      <alignment horizontal="center" vertical="center" wrapText="1"/>
    </xf>
    <xf numFmtId="0" fontId="10" fillId="26" borderId="10" xfId="0" applyFont="1" applyFill="1" applyBorder="1" applyAlignment="1">
      <alignment horizontal="center" vertical="center" shrinkToFit="1"/>
    </xf>
    <xf numFmtId="0" fontId="10" fillId="24" borderId="10" xfId="0" applyFont="1" applyFill="1" applyBorder="1" applyAlignment="1" applyProtection="1">
      <alignment horizontal="center" vertical="center"/>
    </xf>
    <xf numFmtId="0" fontId="10" fillId="41" borderId="10" xfId="0" applyNumberFormat="1" applyFont="1" applyFill="1" applyBorder="1" applyAlignment="1" applyProtection="1">
      <alignment horizontal="center" vertical="center" wrapText="1"/>
      <protection locked="0"/>
    </xf>
    <xf numFmtId="0" fontId="10" fillId="41" borderId="10" xfId="0" applyNumberFormat="1" applyFont="1" applyFill="1" applyBorder="1" applyAlignment="1">
      <alignment horizontal="center" vertical="center" wrapText="1"/>
    </xf>
    <xf numFmtId="0" fontId="13" fillId="25" borderId="10" xfId="0" applyFont="1" applyFill="1" applyBorder="1" applyAlignment="1" applyProtection="1">
      <alignment horizontal="center" vertical="center" wrapText="1"/>
      <protection locked="0"/>
    </xf>
    <xf numFmtId="0" fontId="10" fillId="0" borderId="10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10" xfId="0" applyNumberFormat="1" applyFont="1" applyBorder="1" applyAlignment="1">
      <alignment horizontal="center" vertical="center" wrapText="1"/>
    </xf>
    <xf numFmtId="0" fontId="10" fillId="38" borderId="10" xfId="0" applyNumberFormat="1" applyFont="1" applyFill="1" applyBorder="1" applyAlignment="1" applyProtection="1">
      <alignment horizontal="center" vertical="center" wrapText="1"/>
      <protection locked="0"/>
    </xf>
    <xf numFmtId="0" fontId="10" fillId="38" borderId="10" xfId="0" applyNumberFormat="1" applyFont="1" applyFill="1" applyBorder="1" applyAlignment="1">
      <alignment horizontal="center" vertical="center" wrapText="1"/>
    </xf>
    <xf numFmtId="0" fontId="10" fillId="30" borderId="26" xfId="0" applyFont="1" applyFill="1" applyBorder="1" applyAlignment="1" applyProtection="1">
      <alignment horizontal="center" vertical="center" shrinkToFit="1"/>
    </xf>
    <xf numFmtId="0" fontId="10" fillId="0" borderId="29" xfId="0" applyFont="1" applyBorder="1" applyAlignment="1">
      <alignment vertical="center" shrinkToFit="1"/>
    </xf>
    <xf numFmtId="0" fontId="10" fillId="0" borderId="11" xfId="0" applyFont="1" applyBorder="1" applyAlignment="1">
      <alignment vertical="center" shrinkToFit="1"/>
    </xf>
    <xf numFmtId="0" fontId="61" fillId="0" borderId="26" xfId="0" applyFont="1" applyFill="1" applyBorder="1" applyAlignment="1">
      <alignment horizontal="center" vertical="center"/>
    </xf>
    <xf numFmtId="0" fontId="61" fillId="0" borderId="11" xfId="0" applyFont="1" applyFill="1" applyBorder="1" applyAlignment="1">
      <alignment horizontal="center" vertical="center"/>
    </xf>
    <xf numFmtId="0" fontId="10" fillId="30" borderId="26" xfId="0" applyFont="1" applyFill="1" applyBorder="1" applyAlignment="1">
      <alignment horizontal="center" vertical="center"/>
    </xf>
    <xf numFmtId="0" fontId="10" fillId="30" borderId="29" xfId="0" applyFont="1" applyFill="1" applyBorder="1" applyAlignment="1">
      <alignment horizontal="center" vertical="center"/>
    </xf>
    <xf numFmtId="0" fontId="10" fillId="30" borderId="11" xfId="0" applyFont="1" applyFill="1" applyBorder="1" applyAlignment="1">
      <alignment horizontal="center" vertical="center"/>
    </xf>
    <xf numFmtId="0" fontId="10" fillId="31" borderId="26" xfId="0" quotePrefix="1" applyFont="1" applyFill="1" applyBorder="1" applyAlignment="1">
      <alignment horizontal="center" vertical="center" shrinkToFit="1"/>
    </xf>
    <xf numFmtId="0" fontId="10" fillId="31" borderId="29" xfId="0" applyFont="1" applyFill="1" applyBorder="1" applyAlignment="1">
      <alignment horizontal="center" vertical="center" shrinkToFit="1"/>
    </xf>
    <xf numFmtId="0" fontId="10" fillId="31" borderId="11" xfId="0" applyFont="1" applyFill="1" applyBorder="1" applyAlignment="1">
      <alignment horizontal="center" vertical="center" shrinkToFit="1"/>
    </xf>
    <xf numFmtId="0" fontId="10" fillId="0" borderId="10" xfId="0" applyFont="1" applyFill="1" applyBorder="1" applyAlignment="1">
      <alignment horizontal="center" vertical="center" shrinkToFit="1"/>
    </xf>
    <xf numFmtId="0" fontId="10" fillId="0" borderId="10" xfId="0" applyFont="1" applyFill="1" applyBorder="1" applyAlignment="1">
      <alignment vertical="center" shrinkToFit="1"/>
    </xf>
    <xf numFmtId="0" fontId="10" fillId="0" borderId="10" xfId="0" applyFont="1" applyFill="1" applyBorder="1" applyAlignment="1" applyProtection="1">
      <alignment horizontal="center" vertical="center" shrinkToFit="1"/>
      <protection locked="0"/>
    </xf>
    <xf numFmtId="0" fontId="10" fillId="0" borderId="10" xfId="0" applyFont="1" applyBorder="1" applyAlignment="1">
      <alignment horizontal="center" vertical="center" shrinkToFit="1"/>
    </xf>
    <xf numFmtId="0" fontId="46" fillId="0" borderId="36" xfId="0" applyFont="1" applyBorder="1" applyAlignment="1">
      <alignment horizontal="center" vertical="center" shrinkToFit="1"/>
    </xf>
    <xf numFmtId="0" fontId="46" fillId="0" borderId="45" xfId="0" applyFont="1" applyBorder="1" applyAlignment="1">
      <alignment horizontal="center" vertical="center" shrinkToFit="1"/>
    </xf>
    <xf numFmtId="0" fontId="46" fillId="0" borderId="33" xfId="0" applyFont="1" applyBorder="1" applyAlignment="1">
      <alignment horizontal="center" vertical="center" shrinkToFit="1"/>
    </xf>
    <xf numFmtId="0" fontId="46" fillId="0" borderId="35" xfId="0" applyFont="1" applyBorder="1" applyAlignment="1">
      <alignment horizontal="center" vertical="center" shrinkToFit="1"/>
    </xf>
    <xf numFmtId="0" fontId="57" fillId="0" borderId="37" xfId="0" applyFont="1" applyBorder="1" applyAlignment="1">
      <alignment horizontal="center" vertical="center" shrinkToFit="1"/>
    </xf>
    <xf numFmtId="0" fontId="57" fillId="0" borderId="32" xfId="0" applyFont="1" applyBorder="1" applyAlignment="1">
      <alignment horizontal="center" vertical="center" shrinkToFit="1"/>
    </xf>
    <xf numFmtId="0" fontId="10" fillId="33" borderId="26" xfId="1" applyFont="1" applyFill="1" applyBorder="1" applyAlignment="1" applyProtection="1">
      <alignment horizontal="center" vertical="center" shrinkToFit="1"/>
    </xf>
    <xf numFmtId="0" fontId="10" fillId="33" borderId="29" xfId="1" applyFont="1" applyFill="1" applyBorder="1" applyAlignment="1" applyProtection="1">
      <alignment horizontal="center" vertical="center" shrinkToFit="1"/>
    </xf>
    <xf numFmtId="0" fontId="10" fillId="33" borderId="11" xfId="1" applyFont="1" applyFill="1" applyBorder="1" applyAlignment="1" applyProtection="1">
      <alignment horizontal="center" vertical="center" shrinkToFit="1"/>
    </xf>
    <xf numFmtId="0" fontId="10" fillId="0" borderId="26" xfId="1" applyFont="1" applyBorder="1" applyAlignment="1" applyProtection="1">
      <alignment horizontal="center" vertical="center" shrinkToFit="1"/>
      <protection locked="0"/>
    </xf>
    <xf numFmtId="0" fontId="10" fillId="0" borderId="29" xfId="1" applyFont="1" applyBorder="1" applyAlignment="1" applyProtection="1">
      <alignment horizontal="center" vertical="center" shrinkToFit="1"/>
      <protection locked="0"/>
    </xf>
    <xf numFmtId="0" fontId="10" fillId="0" borderId="11" xfId="1" applyFont="1" applyBorder="1" applyAlignment="1" applyProtection="1">
      <alignment horizontal="center" vertical="center" shrinkToFit="1"/>
      <protection locked="0"/>
    </xf>
    <xf numFmtId="0" fontId="10" fillId="30" borderId="10" xfId="0" applyFont="1" applyFill="1" applyBorder="1" applyAlignment="1">
      <alignment horizontal="center" vertical="center" shrinkToFit="1"/>
    </xf>
    <xf numFmtId="49" fontId="10" fillId="0" borderId="26" xfId="0" applyNumberFormat="1" applyFont="1" applyBorder="1" applyAlignment="1" applyProtection="1">
      <alignment horizontal="center" vertical="center" shrinkToFit="1"/>
      <protection locked="0"/>
    </xf>
    <xf numFmtId="49" fontId="10" fillId="0" borderId="29" xfId="0" applyNumberFormat="1" applyFont="1" applyBorder="1" applyAlignment="1" applyProtection="1">
      <alignment horizontal="center" vertical="center" shrinkToFit="1"/>
      <protection locked="0"/>
    </xf>
    <xf numFmtId="49" fontId="10" fillId="0" borderId="11" xfId="0" applyNumberFormat="1" applyFont="1" applyBorder="1" applyAlignment="1" applyProtection="1">
      <alignment horizontal="center" vertical="center" shrinkToFit="1"/>
      <protection locked="0"/>
    </xf>
    <xf numFmtId="0" fontId="10" fillId="0" borderId="26" xfId="0" applyFont="1" applyBorder="1" applyAlignment="1">
      <alignment horizontal="center" vertical="center" shrinkToFit="1"/>
    </xf>
    <xf numFmtId="0" fontId="10" fillId="0" borderId="29" xfId="0" applyFont="1" applyBorder="1" applyAlignment="1">
      <alignment horizontal="center" vertical="center" shrinkToFit="1"/>
    </xf>
    <xf numFmtId="0" fontId="10" fillId="0" borderId="11" xfId="0" applyFont="1" applyBorder="1" applyAlignment="1">
      <alignment horizontal="center" vertical="center" shrinkToFit="1"/>
    </xf>
    <xf numFmtId="0" fontId="10" fillId="30" borderId="10" xfId="0" applyFont="1" applyFill="1" applyBorder="1" applyAlignment="1" applyProtection="1">
      <alignment horizontal="center" vertical="center" shrinkToFit="1"/>
    </xf>
    <xf numFmtId="49" fontId="10" fillId="0" borderId="10" xfId="0" applyNumberFormat="1" applyFont="1" applyBorder="1" applyAlignment="1" applyProtection="1">
      <alignment horizontal="center" vertical="center" shrinkToFit="1"/>
      <protection locked="0"/>
    </xf>
    <xf numFmtId="0" fontId="10" fillId="29" borderId="10" xfId="1" applyFont="1" applyFill="1" applyBorder="1" applyAlignment="1" applyProtection="1">
      <alignment horizontal="center" vertical="center" shrinkToFit="1"/>
    </xf>
    <xf numFmtId="0" fontId="10" fillId="30" borderId="10" xfId="0" applyFont="1" applyFill="1" applyBorder="1" applyAlignment="1" applyProtection="1">
      <alignment horizontal="center" vertical="center" shrinkToFit="1"/>
      <protection locked="0"/>
    </xf>
    <xf numFmtId="0" fontId="24" fillId="24" borderId="10" xfId="0" applyFont="1" applyFill="1" applyBorder="1" applyAlignment="1" applyProtection="1">
      <alignment horizontal="center" vertical="center" wrapText="1"/>
    </xf>
    <xf numFmtId="0" fontId="10" fillId="24" borderId="10" xfId="0" applyFont="1" applyFill="1" applyBorder="1" applyAlignment="1" applyProtection="1">
      <alignment horizontal="center" vertical="center" wrapText="1"/>
    </xf>
    <xf numFmtId="0" fontId="55" fillId="34" borderId="26" xfId="0" applyFont="1" applyFill="1" applyBorder="1" applyAlignment="1">
      <alignment horizontal="center" vertical="center" shrinkToFit="1"/>
    </xf>
    <xf numFmtId="0" fontId="55" fillId="34" borderId="29" xfId="0" applyFont="1" applyFill="1" applyBorder="1" applyAlignment="1">
      <alignment horizontal="center" vertical="center" shrinkToFit="1"/>
    </xf>
    <xf numFmtId="0" fontId="55" fillId="34" borderId="11" xfId="0" applyFont="1" applyFill="1" applyBorder="1" applyAlignment="1">
      <alignment horizontal="center" vertical="center" shrinkToFit="1"/>
    </xf>
    <xf numFmtId="0" fontId="72" fillId="34" borderId="26" xfId="0" applyFont="1" applyFill="1" applyBorder="1" applyAlignment="1">
      <alignment horizontal="center" vertical="center" shrinkToFit="1"/>
    </xf>
    <xf numFmtId="0" fontId="72" fillId="34" borderId="29" xfId="0" applyFont="1" applyFill="1" applyBorder="1" applyAlignment="1">
      <alignment horizontal="center" vertical="center" shrinkToFit="1"/>
    </xf>
    <xf numFmtId="0" fontId="72" fillId="34" borderId="11" xfId="0" applyFont="1" applyFill="1" applyBorder="1" applyAlignment="1">
      <alignment horizontal="center" vertical="center" shrinkToFit="1"/>
    </xf>
    <xf numFmtId="0" fontId="10" fillId="30" borderId="26" xfId="0" applyFont="1" applyFill="1" applyBorder="1" applyAlignment="1" applyProtection="1">
      <alignment horizontal="center" vertical="center"/>
    </xf>
    <xf numFmtId="0" fontId="10" fillId="30" borderId="29" xfId="0" applyFont="1" applyFill="1" applyBorder="1" applyAlignment="1" applyProtection="1">
      <alignment horizontal="center" vertical="center"/>
    </xf>
    <xf numFmtId="0" fontId="10" fillId="30" borderId="11" xfId="0" applyFont="1" applyFill="1" applyBorder="1" applyAlignment="1" applyProtection="1">
      <alignment horizontal="center" vertical="center"/>
    </xf>
    <xf numFmtId="0" fontId="10" fillId="0" borderId="26" xfId="0" applyFont="1" applyBorder="1" applyAlignment="1">
      <alignment horizontal="center" vertical="center"/>
    </xf>
    <xf numFmtId="0" fontId="10" fillId="0" borderId="29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Fill="1" applyBorder="1" applyAlignment="1" applyProtection="1">
      <alignment horizontal="center" vertical="center" shrinkToFit="1"/>
    </xf>
    <xf numFmtId="0" fontId="10" fillId="26" borderId="26" xfId="0" applyFont="1" applyFill="1" applyBorder="1" applyAlignment="1">
      <alignment horizontal="center" vertical="center" wrapText="1"/>
    </xf>
    <xf numFmtId="0" fontId="10" fillId="26" borderId="11" xfId="0" applyFont="1" applyFill="1" applyBorder="1" applyAlignment="1">
      <alignment horizontal="center" vertical="center" wrapText="1"/>
    </xf>
    <xf numFmtId="0" fontId="10" fillId="26" borderId="10" xfId="0" applyFont="1" applyFill="1" applyBorder="1" applyAlignment="1" applyProtection="1">
      <alignment horizontal="center" vertical="center" wrapText="1"/>
    </xf>
    <xf numFmtId="0" fontId="10" fillId="38" borderId="10" xfId="0" applyFont="1" applyFill="1" applyBorder="1" applyAlignment="1" applyProtection="1">
      <alignment horizontal="center" vertical="center"/>
    </xf>
    <xf numFmtId="0" fontId="10" fillId="0" borderId="10" xfId="0" applyFont="1" applyBorder="1" applyAlignment="1">
      <alignment horizontal="center" vertical="center" wrapText="1"/>
    </xf>
    <xf numFmtId="0" fontId="10" fillId="25" borderId="10" xfId="0" applyFont="1" applyFill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64" fillId="0" borderId="0" xfId="0" applyFont="1" applyAlignment="1">
      <alignment horizontal="center" vertical="center"/>
    </xf>
    <xf numFmtId="0" fontId="64" fillId="0" borderId="0" xfId="0" applyFont="1" applyFill="1" applyAlignment="1">
      <alignment horizontal="center" vertical="center"/>
    </xf>
    <xf numFmtId="0" fontId="10" fillId="0" borderId="10" xfId="0" applyNumberFormat="1" applyFont="1" applyFill="1" applyBorder="1" applyAlignment="1">
      <alignment horizontal="center" vertical="center" wrapText="1"/>
    </xf>
    <xf numFmtId="0" fontId="10" fillId="24" borderId="10" xfId="0" applyFont="1" applyFill="1" applyBorder="1" applyAlignment="1" applyProtection="1">
      <alignment horizontal="center" vertical="center" shrinkToFit="1"/>
    </xf>
    <xf numFmtId="0" fontId="10" fillId="43" borderId="10" xfId="0" applyFont="1" applyFill="1" applyBorder="1" applyAlignment="1" applyProtection="1">
      <alignment horizontal="center" vertical="center" shrinkToFit="1"/>
      <protection locked="0"/>
    </xf>
    <xf numFmtId="0" fontId="10" fillId="43" borderId="10" xfId="0" applyFont="1" applyFill="1" applyBorder="1" applyAlignment="1">
      <alignment vertical="center" shrinkToFit="1"/>
    </xf>
    <xf numFmtId="0" fontId="10" fillId="43" borderId="10" xfId="0" applyFont="1" applyFill="1" applyBorder="1" applyAlignment="1" applyProtection="1">
      <alignment horizontal="center" vertical="center" wrapText="1"/>
      <protection locked="0"/>
    </xf>
    <xf numFmtId="0" fontId="10" fillId="43" borderId="10" xfId="0" applyFont="1" applyFill="1" applyBorder="1" applyAlignment="1">
      <alignment horizontal="center" vertical="center" wrapText="1"/>
    </xf>
    <xf numFmtId="0" fontId="10" fillId="43" borderId="10" xfId="0" applyFont="1" applyFill="1" applyBorder="1" applyAlignment="1">
      <alignment vertical="center"/>
    </xf>
    <xf numFmtId="0" fontId="10" fillId="43" borderId="10" xfId="0" applyNumberFormat="1" applyFont="1" applyFill="1" applyBorder="1" applyAlignment="1" applyProtection="1">
      <alignment horizontal="center" vertical="center" wrapText="1"/>
      <protection locked="0"/>
    </xf>
    <xf numFmtId="0" fontId="10" fillId="43" borderId="10" xfId="0" applyNumberFormat="1" applyFont="1" applyFill="1" applyBorder="1" applyAlignment="1">
      <alignment horizontal="center" vertical="center" wrapText="1"/>
    </xf>
    <xf numFmtId="0" fontId="10" fillId="43" borderId="10" xfId="0" applyFont="1" applyFill="1" applyBorder="1" applyAlignment="1" applyProtection="1">
      <alignment horizontal="center" vertical="center" wrapText="1"/>
    </xf>
    <xf numFmtId="0" fontId="10" fillId="45" borderId="10" xfId="0" applyFont="1" applyFill="1" applyBorder="1" applyAlignment="1" applyProtection="1">
      <alignment horizontal="center" vertical="center" shrinkToFit="1"/>
      <protection locked="0"/>
    </xf>
    <xf numFmtId="0" fontId="10" fillId="45" borderId="10" xfId="0" applyFont="1" applyFill="1" applyBorder="1" applyAlignment="1">
      <alignment vertical="center" shrinkToFit="1"/>
    </xf>
    <xf numFmtId="0" fontId="10" fillId="45" borderId="10" xfId="0" applyFont="1" applyFill="1" applyBorder="1" applyAlignment="1" applyProtection="1">
      <alignment horizontal="center" vertical="center" wrapText="1"/>
      <protection locked="0"/>
    </xf>
    <xf numFmtId="0" fontId="10" fillId="45" borderId="10" xfId="0" applyFont="1" applyFill="1" applyBorder="1" applyAlignment="1">
      <alignment horizontal="center" vertical="center" wrapText="1"/>
    </xf>
    <xf numFmtId="0" fontId="10" fillId="45" borderId="10" xfId="0" applyFont="1" applyFill="1" applyBorder="1" applyAlignment="1">
      <alignment vertical="center"/>
    </xf>
    <xf numFmtId="0" fontId="10" fillId="45" borderId="10" xfId="0" applyNumberFormat="1" applyFont="1" applyFill="1" applyBorder="1" applyAlignment="1" applyProtection="1">
      <alignment horizontal="center" vertical="center" wrapText="1"/>
      <protection locked="0"/>
    </xf>
    <xf numFmtId="0" fontId="10" fillId="45" borderId="10" xfId="0" applyNumberFormat="1" applyFont="1" applyFill="1" applyBorder="1" applyAlignment="1">
      <alignment horizontal="center" vertical="center" wrapText="1"/>
    </xf>
    <xf numFmtId="0" fontId="10" fillId="45" borderId="10" xfId="0" applyFont="1" applyFill="1" applyBorder="1" applyAlignment="1" applyProtection="1">
      <alignment horizontal="center" vertical="center" wrapText="1"/>
    </xf>
    <xf numFmtId="0" fontId="10" fillId="47" borderId="10" xfId="0" applyFont="1" applyFill="1" applyBorder="1" applyAlignment="1" applyProtection="1">
      <alignment horizontal="center" vertical="center" shrinkToFit="1"/>
      <protection locked="0"/>
    </xf>
    <xf numFmtId="0" fontId="10" fillId="47" borderId="10" xfId="0" applyFont="1" applyFill="1" applyBorder="1" applyAlignment="1">
      <alignment vertical="center" shrinkToFit="1"/>
    </xf>
    <xf numFmtId="0" fontId="10" fillId="47" borderId="10" xfId="0" applyFont="1" applyFill="1" applyBorder="1" applyAlignment="1" applyProtection="1">
      <alignment horizontal="center" vertical="center" wrapText="1"/>
      <protection locked="0"/>
    </xf>
    <xf numFmtId="0" fontId="10" fillId="47" borderId="10" xfId="0" applyFont="1" applyFill="1" applyBorder="1" applyAlignment="1">
      <alignment horizontal="center" vertical="center" wrapText="1"/>
    </xf>
    <xf numFmtId="0" fontId="10" fillId="47" borderId="10" xfId="0" applyFont="1" applyFill="1" applyBorder="1" applyAlignment="1">
      <alignment vertical="center"/>
    </xf>
    <xf numFmtId="0" fontId="10" fillId="47" borderId="10" xfId="0" applyNumberFormat="1" applyFont="1" applyFill="1" applyBorder="1" applyAlignment="1" applyProtection="1">
      <alignment horizontal="center" vertical="center" wrapText="1"/>
      <protection locked="0"/>
    </xf>
    <xf numFmtId="0" fontId="10" fillId="47" borderId="10" xfId="0" applyNumberFormat="1" applyFont="1" applyFill="1" applyBorder="1" applyAlignment="1">
      <alignment horizontal="center" vertical="center" wrapText="1"/>
    </xf>
    <xf numFmtId="0" fontId="10" fillId="47" borderId="10" xfId="0" applyFont="1" applyFill="1" applyBorder="1" applyAlignment="1" applyProtection="1">
      <alignment horizontal="center" vertical="center" wrapText="1"/>
    </xf>
    <xf numFmtId="0" fontId="10" fillId="48" borderId="10" xfId="0" applyFont="1" applyFill="1" applyBorder="1" applyAlignment="1" applyProtection="1">
      <alignment horizontal="center" vertical="center" shrinkToFit="1"/>
      <protection locked="0"/>
    </xf>
    <xf numFmtId="0" fontId="10" fillId="48" borderId="10" xfId="0" applyFont="1" applyFill="1" applyBorder="1" applyAlignment="1">
      <alignment vertical="center" shrinkToFit="1"/>
    </xf>
    <xf numFmtId="0" fontId="10" fillId="48" borderId="10" xfId="0" applyFont="1" applyFill="1" applyBorder="1" applyAlignment="1" applyProtection="1">
      <alignment horizontal="center" vertical="center" wrapText="1"/>
      <protection locked="0"/>
    </xf>
    <xf numFmtId="0" fontId="10" fillId="48" borderId="10" xfId="0" applyFont="1" applyFill="1" applyBorder="1" applyAlignment="1">
      <alignment horizontal="center" vertical="center" wrapText="1"/>
    </xf>
    <xf numFmtId="0" fontId="10" fillId="48" borderId="10" xfId="0" applyFont="1" applyFill="1" applyBorder="1" applyAlignment="1">
      <alignment vertical="center"/>
    </xf>
    <xf numFmtId="0" fontId="10" fillId="48" borderId="10" xfId="0" applyNumberFormat="1" applyFont="1" applyFill="1" applyBorder="1" applyAlignment="1" applyProtection="1">
      <alignment horizontal="center" vertical="center" wrapText="1"/>
      <protection locked="0"/>
    </xf>
    <xf numFmtId="0" fontId="10" fillId="48" borderId="10" xfId="0" applyNumberFormat="1" applyFont="1" applyFill="1" applyBorder="1" applyAlignment="1">
      <alignment horizontal="center" vertical="center" wrapText="1"/>
    </xf>
    <xf numFmtId="0" fontId="10" fillId="48" borderId="10" xfId="0" applyFont="1" applyFill="1" applyBorder="1" applyAlignment="1" applyProtection="1">
      <alignment horizontal="center" vertical="center" wrapText="1"/>
    </xf>
    <xf numFmtId="0" fontId="10" fillId="46" borderId="10" xfId="0" applyFont="1" applyFill="1" applyBorder="1" applyAlignment="1" applyProtection="1">
      <alignment horizontal="center" vertical="center" shrinkToFit="1"/>
      <protection locked="0"/>
    </xf>
    <xf numFmtId="0" fontId="10" fillId="46" borderId="10" xfId="0" applyFont="1" applyFill="1" applyBorder="1" applyAlignment="1">
      <alignment vertical="center" shrinkToFit="1"/>
    </xf>
    <xf numFmtId="0" fontId="10" fillId="46" borderId="10" xfId="0" applyFont="1" applyFill="1" applyBorder="1" applyAlignment="1" applyProtection="1">
      <alignment horizontal="center" vertical="center" wrapText="1"/>
      <protection locked="0"/>
    </xf>
    <xf numFmtId="0" fontId="10" fillId="46" borderId="10" xfId="0" applyFont="1" applyFill="1" applyBorder="1" applyAlignment="1">
      <alignment horizontal="center" vertical="center" wrapText="1"/>
    </xf>
    <xf numFmtId="0" fontId="10" fillId="46" borderId="10" xfId="0" applyFont="1" applyFill="1" applyBorder="1" applyAlignment="1">
      <alignment vertical="center"/>
    </xf>
    <xf numFmtId="0" fontId="10" fillId="46" borderId="10" xfId="0" applyNumberFormat="1" applyFont="1" applyFill="1" applyBorder="1" applyAlignment="1" applyProtection="1">
      <alignment horizontal="center" vertical="center" wrapText="1"/>
      <protection locked="0"/>
    </xf>
    <xf numFmtId="0" fontId="10" fillId="46" borderId="10" xfId="0" applyNumberFormat="1" applyFont="1" applyFill="1" applyBorder="1" applyAlignment="1">
      <alignment horizontal="center" vertical="center" wrapText="1"/>
    </xf>
    <xf numFmtId="0" fontId="10" fillId="46" borderId="10" xfId="0" applyFont="1" applyFill="1" applyBorder="1" applyAlignment="1" applyProtection="1">
      <alignment horizontal="center" vertical="center" wrapText="1"/>
    </xf>
    <xf numFmtId="0" fontId="10" fillId="0" borderId="11" xfId="0" applyFont="1" applyBorder="1" applyAlignment="1">
      <alignment vertical="center"/>
    </xf>
    <xf numFmtId="0" fontId="10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vertical="center"/>
    </xf>
    <xf numFmtId="0" fontId="24" fillId="0" borderId="0" xfId="0" applyFont="1" applyBorder="1" applyAlignment="1">
      <alignment horizontal="left" vertical="center"/>
    </xf>
    <xf numFmtId="0" fontId="16" fillId="27" borderId="42" xfId="0" applyFont="1" applyFill="1" applyBorder="1" applyAlignment="1">
      <alignment horizontal="center" vertical="center" shrinkToFit="1"/>
    </xf>
    <xf numFmtId="0" fontId="16" fillId="27" borderId="13" xfId="0" applyFont="1" applyFill="1" applyBorder="1" applyAlignment="1">
      <alignment horizontal="center" vertical="center" shrinkToFit="1"/>
    </xf>
    <xf numFmtId="0" fontId="16" fillId="27" borderId="14" xfId="0" applyFont="1" applyFill="1" applyBorder="1" applyAlignment="1">
      <alignment horizontal="center" vertical="center" shrinkToFit="1"/>
    </xf>
    <xf numFmtId="0" fontId="10" fillId="0" borderId="26" xfId="0" applyFont="1" applyFill="1" applyBorder="1" applyAlignment="1">
      <alignment horizontal="center" vertical="center" shrinkToFit="1"/>
    </xf>
    <xf numFmtId="0" fontId="10" fillId="0" borderId="29" xfId="0" applyFont="1" applyFill="1" applyBorder="1" applyAlignment="1">
      <alignment horizontal="center" vertical="center" shrinkToFit="1"/>
    </xf>
    <xf numFmtId="0" fontId="10" fillId="0" borderId="39" xfId="0" applyFont="1" applyFill="1" applyBorder="1" applyAlignment="1">
      <alignment horizontal="center" vertical="center" shrinkToFit="1"/>
    </xf>
    <xf numFmtId="0" fontId="13" fillId="0" borderId="30" xfId="0" applyFont="1" applyBorder="1" applyAlignment="1">
      <alignment horizontal="left" vertical="center"/>
    </xf>
    <xf numFmtId="0" fontId="13" fillId="0" borderId="43" xfId="0" applyFont="1" applyBorder="1" applyAlignment="1">
      <alignment horizontal="left" vertical="center"/>
    </xf>
    <xf numFmtId="0" fontId="13" fillId="0" borderId="44" xfId="0" applyFont="1" applyBorder="1" applyAlignment="1">
      <alignment horizontal="left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29" borderId="27" xfId="0" applyNumberFormat="1" applyFont="1" applyFill="1" applyBorder="1" applyAlignment="1">
      <alignment horizontal="center" vertical="center" shrinkToFit="1"/>
    </xf>
    <xf numFmtId="0" fontId="10" fillId="29" borderId="40" xfId="0" applyNumberFormat="1" applyFont="1" applyFill="1" applyBorder="1" applyAlignment="1">
      <alignment horizontal="center" vertical="center" shrinkToFit="1"/>
    </xf>
    <xf numFmtId="0" fontId="10" fillId="29" borderId="41" xfId="0" applyNumberFormat="1" applyFont="1" applyFill="1" applyBorder="1" applyAlignment="1">
      <alignment horizontal="center" vertical="center" shrinkToFit="1"/>
    </xf>
    <xf numFmtId="0" fontId="10" fillId="0" borderId="23" xfId="0" applyFont="1" applyBorder="1" applyAlignment="1">
      <alignment horizontal="center" vertical="center"/>
    </xf>
    <xf numFmtId="0" fontId="47" fillId="41" borderId="10" xfId="0" applyNumberFormat="1" applyFont="1" applyFill="1" applyBorder="1" applyAlignment="1" applyProtection="1">
      <alignment horizontal="center" vertical="center" shrinkToFit="1"/>
      <protection locked="0"/>
    </xf>
    <xf numFmtId="0" fontId="47" fillId="41" borderId="10" xfId="0" applyNumberFormat="1" applyFont="1" applyFill="1" applyBorder="1" applyAlignment="1">
      <alignment horizontal="center" vertical="center" shrinkToFit="1"/>
    </xf>
    <xf numFmtId="9" fontId="47" fillId="41" borderId="10" xfId="0" applyNumberFormat="1" applyFont="1" applyFill="1" applyBorder="1" applyAlignment="1" applyProtection="1">
      <alignment horizontal="center" vertical="center" shrinkToFit="1"/>
      <protection locked="0"/>
    </xf>
    <xf numFmtId="0" fontId="47" fillId="41" borderId="10" xfId="0" applyFont="1" applyFill="1" applyBorder="1" applyAlignment="1">
      <alignment horizontal="center" vertical="center" shrinkToFit="1"/>
    </xf>
    <xf numFmtId="0" fontId="47" fillId="40" borderId="10" xfId="0" applyFont="1" applyFill="1" applyBorder="1" applyAlignment="1" applyProtection="1">
      <alignment horizontal="center" vertical="center" shrinkToFit="1"/>
      <protection locked="0"/>
    </xf>
    <xf numFmtId="0" fontId="47" fillId="40" borderId="10" xfId="0" applyFont="1" applyFill="1" applyBorder="1" applyAlignment="1">
      <alignment vertical="center" shrinkToFit="1"/>
    </xf>
    <xf numFmtId="0" fontId="47" fillId="48" borderId="10" xfId="0" applyFont="1" applyFill="1" applyBorder="1" applyAlignment="1" applyProtection="1">
      <alignment horizontal="center" vertical="center" shrinkToFit="1"/>
      <protection locked="0"/>
    </xf>
    <xf numFmtId="0" fontId="47" fillId="48" borderId="10" xfId="0" applyFont="1" applyFill="1" applyBorder="1" applyAlignment="1">
      <alignment vertical="center" shrinkToFit="1"/>
    </xf>
    <xf numFmtId="0" fontId="75" fillId="0" borderId="10" xfId="0" applyFont="1" applyFill="1" applyBorder="1" applyAlignment="1">
      <alignment horizontal="center" vertical="center"/>
    </xf>
    <xf numFmtId="176" fontId="10" fillId="0" borderId="38" xfId="0" applyNumberFormat="1" applyFont="1" applyBorder="1" applyAlignment="1">
      <alignment horizontal="center" vertical="center"/>
    </xf>
    <xf numFmtId="176" fontId="10" fillId="0" borderId="25" xfId="0" applyNumberFormat="1" applyFont="1" applyBorder="1" applyAlignment="1">
      <alignment horizontal="center" vertical="center"/>
    </xf>
    <xf numFmtId="176" fontId="47" fillId="0" borderId="38" xfId="0" applyNumberFormat="1" applyFont="1" applyBorder="1" applyAlignment="1">
      <alignment horizontal="center" vertical="center"/>
    </xf>
    <xf numFmtId="176" fontId="47" fillId="0" borderId="25" xfId="0" applyNumberFormat="1" applyFont="1" applyBorder="1" applyAlignment="1">
      <alignment horizontal="center" vertical="center"/>
    </xf>
    <xf numFmtId="49" fontId="10" fillId="0" borderId="38" xfId="0" applyNumberFormat="1" applyFont="1" applyBorder="1" applyAlignment="1">
      <alignment horizontal="center" vertical="center"/>
    </xf>
    <xf numFmtId="49" fontId="10" fillId="0" borderId="25" xfId="0" applyNumberFormat="1" applyFont="1" applyBorder="1" applyAlignment="1">
      <alignment horizontal="center" vertical="center"/>
    </xf>
    <xf numFmtId="49" fontId="47" fillId="0" borderId="38" xfId="0" applyNumberFormat="1" applyFont="1" applyBorder="1" applyAlignment="1">
      <alignment horizontal="center" vertical="center"/>
    </xf>
    <xf numFmtId="49" fontId="47" fillId="0" borderId="25" xfId="0" applyNumberFormat="1" applyFont="1" applyBorder="1" applyAlignment="1">
      <alignment horizontal="center" vertical="center"/>
    </xf>
    <xf numFmtId="176" fontId="75" fillId="0" borderId="38" xfId="0" applyNumberFormat="1" applyFont="1" applyBorder="1" applyAlignment="1">
      <alignment horizontal="center" vertical="center" wrapText="1"/>
    </xf>
    <xf numFmtId="176" fontId="75" fillId="0" borderId="25" xfId="0" applyNumberFormat="1" applyFont="1" applyBorder="1" applyAlignment="1">
      <alignment horizontal="center" vertical="center" wrapText="1"/>
    </xf>
    <xf numFmtId="176" fontId="10" fillId="0" borderId="22" xfId="0" applyNumberFormat="1" applyFont="1" applyBorder="1" applyAlignment="1">
      <alignment horizontal="center" vertical="center" wrapText="1"/>
    </xf>
    <xf numFmtId="0" fontId="47" fillId="0" borderId="22" xfId="0" applyFont="1" applyBorder="1" applyAlignment="1">
      <alignment horizontal="left" vertical="center" indent="1"/>
    </xf>
    <xf numFmtId="176" fontId="47" fillId="0" borderId="22" xfId="0" applyNumberFormat="1" applyFont="1" applyBorder="1" applyAlignment="1">
      <alignment horizontal="left" vertical="center"/>
    </xf>
    <xf numFmtId="176" fontId="76" fillId="0" borderId="22" xfId="0" applyNumberFormat="1" applyFont="1" applyBorder="1" applyAlignment="1">
      <alignment horizontal="left" vertical="center"/>
    </xf>
  </cellXfs>
  <cellStyles count="86">
    <cellStyle name="??&amp;_x0012_?&amp;_x000b_?_x0008_*_x0007_?_x0007__x0001__x0001_" xfId="1"/>
    <cellStyle name="??&amp;_x0012_?&amp;_x000b_?_x0008_*_x0007_?_x0007__x0001__x0001_?_x0002_???????????????_x0001_(_x0002_Q_x000a_????????????_x0007_??????????????????????????           ?????           ?????????_x000d_?????????????????????????????????????????????????????????????????????????????????????????????????????????????????????" xfId="47"/>
    <cellStyle name="??&amp;_x0012_?&amp;_x000b_?_x0008_*_x0007_?_x0007__x0001__x0001__MTTF_11N32-N110 (4M) (0)_110103_A" xfId="48"/>
    <cellStyle name="??&amp;_x0012_?&amp;_x000b_?_x0008_??_x0007__x0001__x0001_" xfId="49"/>
    <cellStyle name="_djr5c_photo_psmc-1049-1" xfId="50"/>
    <cellStyle name="_SFW 16M FK07 座標參數表 -- 1028" xfId="51"/>
    <cellStyle name="20% - 輔色1" xfId="2" builtinId="30" customBuiltin="1"/>
    <cellStyle name="20% - 輔色2" xfId="3" builtinId="34" customBuiltin="1"/>
    <cellStyle name="20% - 輔色3" xfId="4" builtinId="38" customBuiltin="1"/>
    <cellStyle name="20% - 輔色4" xfId="5" builtinId="42" customBuiltin="1"/>
    <cellStyle name="20% - 輔色5" xfId="6" builtinId="46" customBuiltin="1"/>
    <cellStyle name="20% - 輔色6" xfId="7" builtinId="50" customBuiltin="1"/>
    <cellStyle name="40% - 輔色1" xfId="8" builtinId="31" customBuiltin="1"/>
    <cellStyle name="40% - 輔色2" xfId="9" builtinId="35" customBuiltin="1"/>
    <cellStyle name="40% - 輔色3" xfId="10" builtinId="39" customBuiltin="1"/>
    <cellStyle name="40% - 輔色4" xfId="11" builtinId="43" customBuiltin="1"/>
    <cellStyle name="40% - 輔色5" xfId="12" builtinId="47" customBuiltin="1"/>
    <cellStyle name="40% - 輔色6" xfId="13" builtinId="51" customBuiltin="1"/>
    <cellStyle name="60% - 輔色1" xfId="14" builtinId="32" customBuiltin="1"/>
    <cellStyle name="60% - 輔色2" xfId="15" builtinId="36" customBuiltin="1"/>
    <cellStyle name="60% - 輔色3" xfId="16" builtinId="40" customBuiltin="1"/>
    <cellStyle name="60% - 輔色4" xfId="17" builtinId="44" customBuiltin="1"/>
    <cellStyle name="60% - 輔色5" xfId="18" builtinId="48" customBuiltin="1"/>
    <cellStyle name="60% - 輔色6" xfId="19" builtinId="52" customBuiltin="1"/>
    <cellStyle name="Normal_0.15um-LCV FLOW v1.1" xfId="52"/>
    <cellStyle name="Normal_actrans  0.25um cell layout_design rule_mask table" xfId="20"/>
    <cellStyle name="s]_x000d__x000a_;run=c:\smartctr\SmartCtr_x000d__x000a_Beep=yes_x000d__x000a_NullPort=None_x000d__x000a_BorderWidth=1_x000d__x000a_CursorBlinkRate=590_x000d__x000a_DoubleClickSpeed=452_x000d__x000a_Progr" xfId="53"/>
    <cellStyle name="?_Sheet1" xfId="54"/>
    <cellStyle name="_018UMQCC500CC" xfId="55"/>
    <cellStyle name="_0.18EP-Taravel Flow(4AL)" xfId="56"/>
    <cellStyle name="一般" xfId="0" builtinId="0"/>
    <cellStyle name="一般 10" xfId="67"/>
    <cellStyle name="一般 11" xfId="68"/>
    <cellStyle name="一般 12" xfId="69"/>
    <cellStyle name="一般 13" xfId="70"/>
    <cellStyle name="一般 14" xfId="71"/>
    <cellStyle name="一般 15" xfId="72"/>
    <cellStyle name="一般 16" xfId="81"/>
    <cellStyle name="一般 17" xfId="82"/>
    <cellStyle name="一般 18" xfId="83"/>
    <cellStyle name="一般 19" xfId="84"/>
    <cellStyle name="一般 2" xfId="73"/>
    <cellStyle name="一般 20" xfId="85"/>
    <cellStyle name="一般 3" xfId="74"/>
    <cellStyle name="一般 4" xfId="75"/>
    <cellStyle name="一般 5" xfId="76"/>
    <cellStyle name="一般 6" xfId="77"/>
    <cellStyle name="一般 7" xfId="78"/>
    <cellStyle name="一般 8" xfId="79"/>
    <cellStyle name="一般 9" xfId="80"/>
    <cellStyle name="一般_fd064 floorplan for photo" xfId="21"/>
    <cellStyle name="一般_seaxz_CD" xfId="22"/>
    <cellStyle name="中等" xfId="23" builtinId="28" customBuiltin="1"/>
    <cellStyle name="合計" xfId="24" builtinId="25" customBuiltin="1"/>
    <cellStyle name="好" xfId="25" builtinId="26" customBuiltin="1"/>
    <cellStyle name="好_MTTF_11N32-N110 (4M) (0)_110103_A" xfId="57"/>
    <cellStyle name="好_MTTF_FKRB0(0)_111118_A" xfId="58"/>
    <cellStyle name="好_MTTF_FKRB0(0)_111123_A" xfId="59"/>
    <cellStyle name="計算方式" xfId="26" builtinId="22" customBuiltin="1"/>
    <cellStyle name="常规_WAT Application Form-Fab2_0312-29" xfId="27"/>
    <cellStyle name="連結的儲存格" xfId="28" builtinId="24" customBuiltin="1"/>
    <cellStyle name="備註" xfId="29" builtinId="10" customBuiltin="1"/>
    <cellStyle name="說明文字" xfId="30" builtinId="53" customBuiltin="1"/>
    <cellStyle name="輔色1" xfId="31" builtinId="29" customBuiltin="1"/>
    <cellStyle name="輔色2" xfId="32" builtinId="33" customBuiltin="1"/>
    <cellStyle name="輔色3" xfId="33" builtinId="37" customBuiltin="1"/>
    <cellStyle name="輔色4" xfId="34" builtinId="41" customBuiltin="1"/>
    <cellStyle name="輔色5" xfId="35" builtinId="45" customBuiltin="1"/>
    <cellStyle name="輔色6" xfId="36" builtinId="49" customBuiltin="1"/>
    <cellStyle name="標準_0.18DRAM CVS-TDDB" xfId="60"/>
    <cellStyle name="標題" xfId="37" builtinId="15" customBuiltin="1"/>
    <cellStyle name="標題 1" xfId="38" builtinId="16" customBuiltin="1"/>
    <cellStyle name="標題 1 1" xfId="61"/>
    <cellStyle name="標題 2" xfId="39" builtinId="17" customBuiltin="1"/>
    <cellStyle name="標題 3" xfId="40" builtinId="18" customBuiltin="1"/>
    <cellStyle name="標題 4" xfId="41" builtinId="19" customBuiltin="1"/>
    <cellStyle name="標題 5" xfId="62"/>
    <cellStyle name="樣式 1" xfId="63"/>
    <cellStyle name="輸入" xfId="42" builtinId="20" customBuiltin="1"/>
    <cellStyle name="輸出" xfId="43" builtinId="21" customBuiltin="1"/>
    <cellStyle name="檢查儲存格" xfId="44" builtinId="23" customBuiltin="1"/>
    <cellStyle name="壞" xfId="45" builtinId="27" customBuiltin="1"/>
    <cellStyle name="壞_MTTF_11N32-N110 (4M) (0)_110103_A" xfId="64"/>
    <cellStyle name="壞_MTTF_FKRB0(0)_111118_A" xfId="65"/>
    <cellStyle name="壞_MTTF_FKRB0(0)_111123_A" xfId="66"/>
    <cellStyle name="警告文字" xfId="46" builtinId="11" customBuiltin="1"/>
  </cellStyles>
  <dxfs count="166">
    <dxf>
      <font>
        <b/>
        <i/>
        <color rgb="FF0000FF"/>
      </font>
    </dxf>
    <dxf>
      <font>
        <b/>
        <i/>
        <color rgb="FF7030A0"/>
      </font>
    </dxf>
    <dxf>
      <font>
        <b val="0"/>
        <i val="0"/>
        <strike/>
        <color theme="1"/>
      </font>
      <fill>
        <patternFill>
          <bgColor theme="0" tint="-0.24994659260841701"/>
        </patternFill>
      </fill>
    </dxf>
    <dxf>
      <font>
        <b/>
        <i/>
        <color rgb="FF0000FF"/>
      </font>
    </dxf>
    <dxf>
      <font>
        <b/>
        <i/>
        <color rgb="FF7030A0"/>
      </font>
    </dxf>
    <dxf>
      <font>
        <b val="0"/>
        <i val="0"/>
        <strike/>
        <color theme="1"/>
      </font>
      <fill>
        <patternFill>
          <bgColor theme="0" tint="-0.24994659260841701"/>
        </patternFill>
      </fill>
    </dxf>
    <dxf>
      <font>
        <b/>
        <i/>
        <color rgb="FFFF0000"/>
      </font>
      <fill>
        <patternFill>
          <bgColor rgb="FFFFCCFF"/>
        </patternFill>
      </fill>
    </dxf>
    <dxf>
      <font>
        <b/>
        <i/>
        <color rgb="FFFF0000"/>
      </font>
      <fill>
        <patternFill>
          <bgColor rgb="FFFFCCFF"/>
        </patternFill>
      </fill>
    </dxf>
    <dxf>
      <font>
        <b/>
        <i/>
        <color rgb="FFFF0000"/>
      </font>
      <fill>
        <patternFill>
          <bgColor rgb="FFFFCCFF"/>
        </patternFill>
      </fill>
    </dxf>
    <dxf>
      <font>
        <b/>
        <i/>
        <color rgb="FFFF0000"/>
      </font>
      <fill>
        <patternFill>
          <bgColor rgb="FFFFCCFF"/>
        </patternFill>
      </fill>
    </dxf>
    <dxf>
      <font>
        <b/>
        <i/>
        <color rgb="FFFF0000"/>
      </font>
      <fill>
        <patternFill>
          <bgColor rgb="FFFFCCFF"/>
        </patternFill>
      </fill>
    </dxf>
    <dxf>
      <font>
        <b/>
        <i/>
        <color rgb="FFFF0000"/>
      </font>
      <fill>
        <patternFill>
          <bgColor rgb="FFFFCCFF"/>
        </patternFill>
      </fill>
    </dxf>
    <dxf>
      <font>
        <b/>
        <i/>
        <color rgb="FF0000FF"/>
      </font>
    </dxf>
    <dxf>
      <font>
        <b/>
        <i/>
        <color rgb="FF7030A0"/>
      </font>
    </dxf>
    <dxf>
      <font>
        <b val="0"/>
        <i val="0"/>
        <strike/>
        <color theme="1"/>
      </font>
      <fill>
        <patternFill>
          <bgColor theme="0" tint="-0.24994659260841701"/>
        </patternFill>
      </fill>
    </dxf>
    <dxf>
      <font>
        <b/>
        <i/>
        <color rgb="FFFF0000"/>
      </font>
      <fill>
        <patternFill>
          <bgColor rgb="FFFFCCFF"/>
        </patternFill>
      </fill>
    </dxf>
    <dxf>
      <font>
        <b/>
        <i/>
        <color rgb="FF0000FF"/>
      </font>
    </dxf>
    <dxf>
      <font>
        <b/>
        <i/>
        <color rgb="FF7030A0"/>
      </font>
    </dxf>
    <dxf>
      <font>
        <b val="0"/>
        <i val="0"/>
        <strike/>
        <color theme="1"/>
      </font>
      <fill>
        <patternFill>
          <bgColor theme="0" tint="-0.24994659260841701"/>
        </patternFill>
      </fill>
    </dxf>
    <dxf>
      <font>
        <b/>
        <i/>
        <color rgb="FFFF0000"/>
      </font>
      <fill>
        <patternFill>
          <bgColor rgb="FFFFCCFF"/>
        </patternFill>
      </fill>
    </dxf>
    <dxf>
      <font>
        <b/>
        <i/>
        <color rgb="FF0000FF"/>
      </font>
    </dxf>
    <dxf>
      <font>
        <b/>
        <i/>
        <color rgb="FF7030A0"/>
      </font>
    </dxf>
    <dxf>
      <font>
        <b val="0"/>
        <i val="0"/>
        <strike/>
        <color theme="1"/>
      </font>
      <fill>
        <patternFill>
          <bgColor theme="0" tint="-0.24994659260841701"/>
        </patternFill>
      </fill>
    </dxf>
    <dxf>
      <font>
        <b/>
        <i/>
        <color rgb="FFFF0000"/>
      </font>
      <fill>
        <patternFill>
          <bgColor rgb="FFFFCCFF"/>
        </patternFill>
      </fill>
    </dxf>
    <dxf>
      <font>
        <b/>
        <i/>
        <color rgb="FF0000FF"/>
      </font>
    </dxf>
    <dxf>
      <font>
        <b/>
        <i/>
        <color rgb="FF7030A0"/>
      </font>
    </dxf>
    <dxf>
      <font>
        <b val="0"/>
        <i val="0"/>
        <strike/>
        <color theme="1"/>
      </font>
      <fill>
        <patternFill>
          <bgColor theme="0" tint="-0.24994659260841701"/>
        </patternFill>
      </fill>
    </dxf>
    <dxf>
      <font>
        <b/>
        <i/>
        <color rgb="FFFF0000"/>
      </font>
      <fill>
        <patternFill>
          <bgColor rgb="FFFFCCFF"/>
        </patternFill>
      </fill>
    </dxf>
    <dxf>
      <font>
        <b/>
        <i/>
        <color rgb="FF0000FF"/>
      </font>
    </dxf>
    <dxf>
      <font>
        <b/>
        <i/>
        <color rgb="FF7030A0"/>
      </font>
    </dxf>
    <dxf>
      <font>
        <b val="0"/>
        <i val="0"/>
        <strike/>
        <color theme="1"/>
      </font>
      <fill>
        <patternFill>
          <bgColor theme="0" tint="-0.24994659260841701"/>
        </patternFill>
      </fill>
    </dxf>
    <dxf>
      <font>
        <b/>
        <i/>
        <color rgb="FFFF0000"/>
      </font>
      <fill>
        <patternFill>
          <bgColor rgb="FFFFCCFF"/>
        </patternFill>
      </fill>
    </dxf>
    <dxf>
      <font>
        <b/>
        <i/>
        <color rgb="FF0000FF"/>
      </font>
    </dxf>
    <dxf>
      <font>
        <b/>
        <i/>
        <color rgb="FF7030A0"/>
      </font>
    </dxf>
    <dxf>
      <font>
        <b val="0"/>
        <i val="0"/>
        <strike/>
        <color theme="1"/>
      </font>
      <fill>
        <patternFill>
          <bgColor theme="0" tint="-0.24994659260841701"/>
        </patternFill>
      </fill>
    </dxf>
    <dxf>
      <font>
        <b/>
        <i/>
        <color rgb="FFFF0000"/>
      </font>
      <fill>
        <patternFill>
          <bgColor rgb="FFFFCCFF"/>
        </patternFill>
      </fill>
    </dxf>
    <dxf>
      <font>
        <b/>
        <i/>
        <color rgb="FF0000FF"/>
      </font>
    </dxf>
    <dxf>
      <font>
        <b/>
        <i/>
        <color rgb="FF7030A0"/>
      </font>
    </dxf>
    <dxf>
      <font>
        <b val="0"/>
        <i val="0"/>
        <strike/>
        <color theme="1"/>
      </font>
      <fill>
        <patternFill>
          <bgColor theme="0" tint="-0.24994659260841701"/>
        </patternFill>
      </fill>
    </dxf>
    <dxf>
      <font>
        <b/>
        <i/>
        <color rgb="FFFF0000"/>
      </font>
      <fill>
        <patternFill>
          <bgColor rgb="FFFFCCFF"/>
        </patternFill>
      </fill>
    </dxf>
    <dxf>
      <font>
        <b/>
        <i/>
        <color rgb="FF0000FF"/>
      </font>
    </dxf>
    <dxf>
      <font>
        <b/>
        <i/>
        <color rgb="FF7030A0"/>
      </font>
    </dxf>
    <dxf>
      <font>
        <b val="0"/>
        <i val="0"/>
        <strike/>
        <color theme="1"/>
      </font>
      <fill>
        <patternFill>
          <bgColor theme="0" tint="-0.24994659260841701"/>
        </patternFill>
      </fill>
    </dxf>
    <dxf>
      <font>
        <b/>
        <i/>
        <color rgb="FFFF0000"/>
      </font>
      <fill>
        <patternFill>
          <bgColor rgb="FFFFCCFF"/>
        </patternFill>
      </fill>
    </dxf>
    <dxf>
      <font>
        <b/>
        <i/>
        <color rgb="FF0000FF"/>
      </font>
    </dxf>
    <dxf>
      <font>
        <b/>
        <i/>
        <color rgb="FF7030A0"/>
      </font>
    </dxf>
    <dxf>
      <font>
        <b val="0"/>
        <i val="0"/>
        <strike/>
        <color theme="1"/>
      </font>
      <fill>
        <patternFill>
          <bgColor theme="0" tint="-0.24994659260841701"/>
        </patternFill>
      </fill>
    </dxf>
    <dxf>
      <font>
        <b/>
        <i/>
        <color rgb="FFFF0000"/>
      </font>
      <fill>
        <patternFill>
          <bgColor rgb="FFFFCCFF"/>
        </patternFill>
      </fill>
    </dxf>
    <dxf>
      <font>
        <b/>
        <i/>
        <color rgb="FF0000FF"/>
      </font>
    </dxf>
    <dxf>
      <font>
        <b/>
        <i/>
        <color rgb="FF7030A0"/>
      </font>
    </dxf>
    <dxf>
      <font>
        <b val="0"/>
        <i val="0"/>
        <strike/>
        <color theme="1"/>
      </font>
      <fill>
        <patternFill>
          <bgColor theme="0" tint="-0.24994659260841701"/>
        </patternFill>
      </fill>
    </dxf>
    <dxf>
      <font>
        <b/>
        <i/>
        <color rgb="FFFF0000"/>
      </font>
      <fill>
        <patternFill>
          <bgColor rgb="FFFFCCFF"/>
        </patternFill>
      </fill>
    </dxf>
    <dxf>
      <font>
        <b/>
        <i/>
        <color rgb="FF0000FF"/>
      </font>
    </dxf>
    <dxf>
      <font>
        <b/>
        <i/>
        <color rgb="FF7030A0"/>
      </font>
    </dxf>
    <dxf>
      <font>
        <b val="0"/>
        <i val="0"/>
        <strike/>
        <color theme="1"/>
      </font>
      <fill>
        <patternFill>
          <bgColor theme="0" tint="-0.24994659260841701"/>
        </patternFill>
      </fill>
    </dxf>
    <dxf>
      <font>
        <b/>
        <i/>
        <color rgb="FFFF0000"/>
      </font>
      <fill>
        <patternFill>
          <bgColor rgb="FFFFCCFF"/>
        </patternFill>
      </fill>
    </dxf>
    <dxf>
      <font>
        <b/>
        <i/>
        <color rgb="FF0000FF"/>
      </font>
    </dxf>
    <dxf>
      <font>
        <b/>
        <i/>
        <color rgb="FF7030A0"/>
      </font>
    </dxf>
    <dxf>
      <font>
        <b val="0"/>
        <i val="0"/>
        <strike/>
        <color theme="1"/>
      </font>
      <fill>
        <patternFill>
          <bgColor theme="0" tint="-0.24994659260841701"/>
        </patternFill>
      </fill>
    </dxf>
    <dxf>
      <font>
        <b/>
        <i/>
        <color rgb="FFFF0000"/>
      </font>
      <fill>
        <patternFill>
          <bgColor rgb="FFFFCCFF"/>
        </patternFill>
      </fill>
    </dxf>
    <dxf>
      <font>
        <b/>
        <i/>
        <color rgb="FF0000FF"/>
      </font>
    </dxf>
    <dxf>
      <font>
        <b/>
        <i/>
        <color rgb="FF7030A0"/>
      </font>
    </dxf>
    <dxf>
      <font>
        <b val="0"/>
        <i val="0"/>
        <strike/>
        <color theme="1"/>
      </font>
      <fill>
        <patternFill>
          <bgColor theme="0" tint="-0.24994659260841701"/>
        </patternFill>
      </fill>
    </dxf>
    <dxf>
      <font>
        <b/>
        <i/>
        <color rgb="FFFF0000"/>
      </font>
      <fill>
        <patternFill>
          <bgColor rgb="FFFFCCFF"/>
        </patternFill>
      </fill>
    </dxf>
    <dxf>
      <font>
        <b/>
        <i/>
        <color rgb="FF0000FF"/>
      </font>
    </dxf>
    <dxf>
      <font>
        <b/>
        <i/>
        <color rgb="FF7030A0"/>
      </font>
    </dxf>
    <dxf>
      <font>
        <b val="0"/>
        <i val="0"/>
        <strike/>
        <color theme="1"/>
      </font>
      <fill>
        <patternFill>
          <bgColor theme="0" tint="-0.24994659260841701"/>
        </patternFill>
      </fill>
    </dxf>
    <dxf>
      <font>
        <b/>
        <i/>
        <color rgb="FFFF0000"/>
      </font>
      <fill>
        <patternFill>
          <bgColor rgb="FFFFCCFF"/>
        </patternFill>
      </fill>
    </dxf>
    <dxf>
      <font>
        <b/>
        <i/>
        <color rgb="FF0000FF"/>
      </font>
    </dxf>
    <dxf>
      <font>
        <b/>
        <i/>
        <color rgb="FF7030A0"/>
      </font>
    </dxf>
    <dxf>
      <font>
        <b val="0"/>
        <i val="0"/>
        <strike/>
        <color theme="1"/>
      </font>
      <fill>
        <patternFill>
          <bgColor theme="0" tint="-0.24994659260841701"/>
        </patternFill>
      </fill>
    </dxf>
    <dxf>
      <font>
        <b/>
        <i/>
        <color rgb="FFFF0000"/>
      </font>
      <fill>
        <patternFill>
          <bgColor rgb="FFFFCCFF"/>
        </patternFill>
      </fill>
    </dxf>
    <dxf>
      <font>
        <b/>
        <i/>
        <color rgb="FF0000FF"/>
      </font>
    </dxf>
    <dxf>
      <font>
        <b/>
        <i/>
        <color rgb="FF7030A0"/>
      </font>
    </dxf>
    <dxf>
      <font>
        <b val="0"/>
        <i val="0"/>
        <strike/>
        <color theme="1"/>
      </font>
      <fill>
        <patternFill>
          <bgColor theme="0" tint="-0.24994659260841701"/>
        </patternFill>
      </fill>
    </dxf>
    <dxf>
      <font>
        <b/>
        <i/>
        <color rgb="FFFF0000"/>
      </font>
      <fill>
        <patternFill>
          <bgColor rgb="FFFFCCFF"/>
        </patternFill>
      </fill>
    </dxf>
    <dxf>
      <font>
        <b/>
        <i/>
        <color rgb="FF0000FF"/>
      </font>
    </dxf>
    <dxf>
      <font>
        <b/>
        <i/>
        <color rgb="FF7030A0"/>
      </font>
    </dxf>
    <dxf>
      <font>
        <b val="0"/>
        <i val="0"/>
        <strike/>
        <color theme="1"/>
      </font>
      <fill>
        <patternFill>
          <bgColor theme="0" tint="-0.24994659260841701"/>
        </patternFill>
      </fill>
    </dxf>
    <dxf>
      <font>
        <b/>
        <i/>
        <color rgb="FFFF0000"/>
      </font>
      <fill>
        <patternFill>
          <bgColor rgb="FFFFCCFF"/>
        </patternFill>
      </fill>
    </dxf>
    <dxf>
      <font>
        <b/>
        <i/>
        <color rgb="FF0000FF"/>
      </font>
    </dxf>
    <dxf>
      <font>
        <b/>
        <i/>
        <color rgb="FF7030A0"/>
      </font>
    </dxf>
    <dxf>
      <font>
        <b val="0"/>
        <i val="0"/>
        <strike/>
        <color theme="1"/>
      </font>
      <fill>
        <patternFill>
          <bgColor theme="0" tint="-0.24994659260841701"/>
        </patternFill>
      </fill>
    </dxf>
    <dxf>
      <font>
        <b/>
        <i/>
        <color rgb="FFFF0000"/>
      </font>
      <fill>
        <patternFill>
          <bgColor rgb="FFFFCCFF"/>
        </patternFill>
      </fill>
    </dxf>
    <dxf>
      <font>
        <b/>
        <i/>
        <color rgb="FF0000FF"/>
      </font>
    </dxf>
    <dxf>
      <font>
        <b/>
        <i/>
        <color rgb="FF7030A0"/>
      </font>
    </dxf>
    <dxf>
      <font>
        <b val="0"/>
        <i val="0"/>
        <strike/>
        <color theme="1"/>
      </font>
      <fill>
        <patternFill>
          <bgColor theme="0" tint="-0.24994659260841701"/>
        </patternFill>
      </fill>
    </dxf>
    <dxf>
      <font>
        <b/>
        <i/>
        <color rgb="FFFF0000"/>
      </font>
      <fill>
        <patternFill>
          <bgColor rgb="FFFFCCFF"/>
        </patternFill>
      </fill>
    </dxf>
    <dxf>
      <font>
        <b/>
        <i/>
        <color rgb="FF0000FF"/>
      </font>
    </dxf>
    <dxf>
      <font>
        <b/>
        <i/>
        <color rgb="FF7030A0"/>
      </font>
    </dxf>
    <dxf>
      <font>
        <b val="0"/>
        <i val="0"/>
        <strike/>
        <color theme="1"/>
      </font>
      <fill>
        <patternFill>
          <bgColor theme="0" tint="-0.24994659260841701"/>
        </patternFill>
      </fill>
    </dxf>
    <dxf>
      <font>
        <b/>
        <i/>
        <color rgb="FFFF0000"/>
      </font>
      <fill>
        <patternFill>
          <bgColor rgb="FFFFCCFF"/>
        </patternFill>
      </fill>
    </dxf>
    <dxf>
      <font>
        <b/>
        <i/>
        <color rgb="FF0000FF"/>
      </font>
    </dxf>
    <dxf>
      <font>
        <b/>
        <i/>
        <color rgb="FF7030A0"/>
      </font>
    </dxf>
    <dxf>
      <font>
        <b val="0"/>
        <i val="0"/>
        <strike/>
        <color theme="1"/>
      </font>
      <fill>
        <patternFill>
          <bgColor theme="0" tint="-0.24994659260841701"/>
        </patternFill>
      </fill>
    </dxf>
    <dxf>
      <font>
        <b/>
        <i/>
        <color rgb="FFFF0000"/>
      </font>
      <fill>
        <patternFill>
          <bgColor rgb="FFFFCCFF"/>
        </patternFill>
      </fill>
    </dxf>
    <dxf>
      <font>
        <b/>
        <i/>
        <color rgb="FF0000FF"/>
      </font>
    </dxf>
    <dxf>
      <font>
        <b/>
        <i/>
        <color rgb="FF7030A0"/>
      </font>
    </dxf>
    <dxf>
      <font>
        <b val="0"/>
        <i val="0"/>
        <strike/>
        <color theme="1"/>
      </font>
      <fill>
        <patternFill>
          <bgColor theme="0" tint="-0.24994659260841701"/>
        </patternFill>
      </fill>
    </dxf>
    <dxf>
      <font>
        <b/>
        <i/>
        <color rgb="FFFF0000"/>
      </font>
      <fill>
        <patternFill>
          <bgColor rgb="FFFFCCFF"/>
        </patternFill>
      </fill>
    </dxf>
    <dxf>
      <font>
        <b/>
        <i/>
        <color rgb="FF0000FF"/>
      </font>
    </dxf>
    <dxf>
      <font>
        <b/>
        <i/>
        <color rgb="FF7030A0"/>
      </font>
    </dxf>
    <dxf>
      <font>
        <b val="0"/>
        <i val="0"/>
        <strike/>
        <color theme="1"/>
      </font>
      <fill>
        <patternFill>
          <bgColor theme="0" tint="-0.24994659260841701"/>
        </patternFill>
      </fill>
    </dxf>
    <dxf>
      <font>
        <b/>
        <i/>
        <color rgb="FFFF0000"/>
      </font>
      <fill>
        <patternFill>
          <bgColor rgb="FFFFCCFF"/>
        </patternFill>
      </fill>
    </dxf>
    <dxf>
      <font>
        <b/>
        <i/>
        <color rgb="FF0000FF"/>
      </font>
    </dxf>
    <dxf>
      <font>
        <b/>
        <i/>
        <color rgb="FF7030A0"/>
      </font>
    </dxf>
    <dxf>
      <font>
        <b val="0"/>
        <i val="0"/>
        <strike/>
        <color theme="1"/>
      </font>
      <fill>
        <patternFill>
          <bgColor theme="0" tint="-0.24994659260841701"/>
        </patternFill>
      </fill>
    </dxf>
    <dxf>
      <font>
        <b/>
        <i/>
        <color rgb="FFFF0000"/>
      </font>
      <fill>
        <patternFill>
          <bgColor rgb="FFFFCCFF"/>
        </patternFill>
      </fill>
    </dxf>
    <dxf>
      <font>
        <b/>
        <i/>
        <color rgb="FF0000FF"/>
      </font>
    </dxf>
    <dxf>
      <font>
        <b/>
        <i/>
        <color rgb="FF7030A0"/>
      </font>
    </dxf>
    <dxf>
      <font>
        <b val="0"/>
        <i val="0"/>
        <strike/>
        <color theme="1"/>
      </font>
      <fill>
        <patternFill>
          <bgColor theme="0" tint="-0.24994659260841701"/>
        </patternFill>
      </fill>
    </dxf>
    <dxf>
      <font>
        <b/>
        <i/>
        <color rgb="FFFF0000"/>
      </font>
      <fill>
        <patternFill>
          <bgColor rgb="FFFFCCFF"/>
        </patternFill>
      </fill>
    </dxf>
    <dxf>
      <font>
        <b/>
        <i/>
        <color rgb="FF0000FF"/>
      </font>
    </dxf>
    <dxf>
      <font>
        <b/>
        <i/>
        <color rgb="FF7030A0"/>
      </font>
    </dxf>
    <dxf>
      <font>
        <b val="0"/>
        <i val="0"/>
        <strike/>
        <color theme="1"/>
      </font>
      <fill>
        <patternFill>
          <bgColor theme="0" tint="-0.24994659260841701"/>
        </patternFill>
      </fill>
    </dxf>
    <dxf>
      <font>
        <b/>
        <i/>
        <color rgb="FFFF0000"/>
      </font>
      <fill>
        <patternFill>
          <bgColor rgb="FFFFCCFF"/>
        </patternFill>
      </fill>
    </dxf>
    <dxf>
      <font>
        <b/>
        <i/>
        <color rgb="FF0000FF"/>
      </font>
    </dxf>
    <dxf>
      <font>
        <b/>
        <i/>
        <color rgb="FF7030A0"/>
      </font>
    </dxf>
    <dxf>
      <font>
        <b val="0"/>
        <i val="0"/>
        <strike/>
        <color theme="1"/>
      </font>
      <fill>
        <patternFill>
          <bgColor theme="0" tint="-0.24994659260841701"/>
        </patternFill>
      </fill>
    </dxf>
    <dxf>
      <font>
        <b/>
        <i/>
        <color rgb="FFFF0000"/>
      </font>
      <fill>
        <patternFill>
          <bgColor rgb="FFFFCCFF"/>
        </patternFill>
      </fill>
    </dxf>
    <dxf>
      <font>
        <b/>
        <i/>
        <color rgb="FF0000FF"/>
      </font>
    </dxf>
    <dxf>
      <font>
        <b/>
        <i/>
        <color rgb="FF7030A0"/>
      </font>
    </dxf>
    <dxf>
      <font>
        <b val="0"/>
        <i val="0"/>
        <strike/>
        <color theme="1"/>
      </font>
      <fill>
        <patternFill>
          <bgColor theme="0" tint="-0.24994659260841701"/>
        </patternFill>
      </fill>
    </dxf>
    <dxf>
      <font>
        <b/>
        <i/>
        <color rgb="FFFF0000"/>
      </font>
      <fill>
        <patternFill>
          <bgColor rgb="FFFFCCFF"/>
        </patternFill>
      </fill>
    </dxf>
    <dxf>
      <font>
        <b/>
        <i/>
        <color rgb="FF0000FF"/>
      </font>
    </dxf>
    <dxf>
      <font>
        <b/>
        <i/>
        <color rgb="FF7030A0"/>
      </font>
    </dxf>
    <dxf>
      <font>
        <b val="0"/>
        <i val="0"/>
        <strike/>
        <color theme="1"/>
      </font>
      <fill>
        <patternFill>
          <bgColor theme="0" tint="-0.24994659260841701"/>
        </patternFill>
      </fill>
    </dxf>
    <dxf>
      <font>
        <b/>
        <i/>
        <color rgb="FFFF0000"/>
      </font>
      <fill>
        <patternFill>
          <bgColor rgb="FFFFCCFF"/>
        </patternFill>
      </fill>
    </dxf>
    <dxf>
      <font>
        <b/>
        <i/>
        <color rgb="FF0000FF"/>
      </font>
    </dxf>
    <dxf>
      <font>
        <b/>
        <i/>
        <color rgb="FF7030A0"/>
      </font>
    </dxf>
    <dxf>
      <font>
        <b val="0"/>
        <i val="0"/>
        <strike/>
        <color theme="1"/>
      </font>
      <fill>
        <patternFill>
          <bgColor theme="0" tint="-0.24994659260841701"/>
        </patternFill>
      </fill>
    </dxf>
    <dxf>
      <font>
        <b/>
        <i/>
        <color rgb="FFFF0000"/>
      </font>
      <fill>
        <patternFill>
          <bgColor rgb="FFFFCCFF"/>
        </patternFill>
      </fill>
    </dxf>
    <dxf>
      <font>
        <b/>
        <i/>
        <color rgb="FF0000FF"/>
      </font>
    </dxf>
    <dxf>
      <font>
        <b/>
        <i/>
        <color rgb="FF7030A0"/>
      </font>
    </dxf>
    <dxf>
      <font>
        <b val="0"/>
        <i val="0"/>
        <strike/>
        <color theme="1"/>
      </font>
      <fill>
        <patternFill>
          <bgColor theme="0" tint="-0.24994659260841701"/>
        </patternFill>
      </fill>
    </dxf>
    <dxf>
      <font>
        <b/>
        <i/>
        <color rgb="FFFF0000"/>
      </font>
      <fill>
        <patternFill>
          <bgColor rgb="FFFFCCFF"/>
        </patternFill>
      </fill>
    </dxf>
    <dxf>
      <font>
        <b/>
        <i/>
        <color rgb="FF0000FF"/>
      </font>
    </dxf>
    <dxf>
      <font>
        <b/>
        <i/>
        <color rgb="FF7030A0"/>
      </font>
    </dxf>
    <dxf>
      <font>
        <b val="0"/>
        <i val="0"/>
        <strike/>
        <color theme="1"/>
      </font>
      <fill>
        <patternFill>
          <bgColor theme="0" tint="-0.24994659260841701"/>
        </patternFill>
      </fill>
    </dxf>
    <dxf>
      <font>
        <b/>
        <i/>
        <color rgb="FFFF0000"/>
      </font>
      <fill>
        <patternFill>
          <bgColor rgb="FFFFCCFF"/>
        </patternFill>
      </fill>
    </dxf>
    <dxf>
      <font>
        <b/>
        <i/>
        <color rgb="FF0000FF"/>
      </font>
    </dxf>
    <dxf>
      <font>
        <b/>
        <i/>
        <color rgb="FF7030A0"/>
      </font>
    </dxf>
    <dxf>
      <font>
        <b val="0"/>
        <i val="0"/>
        <strike/>
        <color theme="1"/>
      </font>
      <fill>
        <patternFill>
          <bgColor theme="0" tint="-0.24994659260841701"/>
        </patternFill>
      </fill>
    </dxf>
    <dxf>
      <font>
        <b/>
        <i/>
        <color rgb="FFFF0000"/>
      </font>
      <fill>
        <patternFill>
          <bgColor rgb="FFFFCCFF"/>
        </patternFill>
      </fill>
    </dxf>
    <dxf>
      <font>
        <b/>
        <i/>
        <color rgb="FF0000FF"/>
      </font>
    </dxf>
    <dxf>
      <font>
        <b/>
        <i/>
        <color rgb="FF7030A0"/>
      </font>
    </dxf>
    <dxf>
      <font>
        <b val="0"/>
        <i val="0"/>
        <strike/>
        <color theme="1"/>
      </font>
      <fill>
        <patternFill>
          <bgColor theme="0" tint="-0.24994659260841701"/>
        </patternFill>
      </fill>
    </dxf>
    <dxf>
      <font>
        <b/>
        <i/>
        <color rgb="FFFF0000"/>
      </font>
      <fill>
        <patternFill>
          <bgColor rgb="FFFFCCFF"/>
        </patternFill>
      </fill>
    </dxf>
    <dxf>
      <font>
        <b/>
        <i/>
        <color rgb="FF0000FF"/>
      </font>
    </dxf>
    <dxf>
      <font>
        <b/>
        <i/>
        <color rgb="FF7030A0"/>
      </font>
    </dxf>
    <dxf>
      <font>
        <b val="0"/>
        <i val="0"/>
        <strike/>
        <color theme="1"/>
      </font>
      <fill>
        <patternFill>
          <bgColor theme="0" tint="-0.24994659260841701"/>
        </patternFill>
      </fill>
    </dxf>
    <dxf>
      <font>
        <b/>
        <i/>
        <color rgb="FF0000FF"/>
      </font>
    </dxf>
    <dxf>
      <font>
        <b/>
        <i/>
        <color rgb="FF7030A0"/>
      </font>
    </dxf>
    <dxf>
      <font>
        <b val="0"/>
        <i val="0"/>
        <strike/>
        <color theme="1"/>
      </font>
      <fill>
        <patternFill>
          <bgColor theme="0" tint="-0.24994659260841701"/>
        </patternFill>
      </fill>
    </dxf>
    <dxf>
      <font>
        <b/>
        <i/>
        <color rgb="FF0000FF"/>
      </font>
    </dxf>
    <dxf>
      <font>
        <b/>
        <i/>
        <color rgb="FF7030A0"/>
      </font>
    </dxf>
    <dxf>
      <font>
        <b val="0"/>
        <i val="0"/>
        <strike/>
        <color theme="1"/>
      </font>
      <fill>
        <patternFill>
          <bgColor theme="0" tint="-0.24994659260841701"/>
        </patternFill>
      </fill>
    </dxf>
    <dxf>
      <font>
        <b/>
        <i/>
        <color rgb="FF0000FF"/>
      </font>
    </dxf>
    <dxf>
      <font>
        <b/>
        <i/>
        <color rgb="FF7030A0"/>
      </font>
    </dxf>
    <dxf>
      <font>
        <b val="0"/>
        <i val="0"/>
        <strike/>
        <color theme="1"/>
      </font>
      <fill>
        <patternFill>
          <bgColor theme="0" tint="-0.24994659260841701"/>
        </patternFill>
      </fill>
    </dxf>
    <dxf>
      <font>
        <b/>
        <i/>
        <color rgb="FFFF0000"/>
      </font>
      <fill>
        <patternFill>
          <bgColor rgb="FFFFCCFF"/>
        </patternFill>
      </fill>
    </dxf>
    <dxf>
      <font>
        <b/>
        <i/>
        <color rgb="FFFF0000"/>
      </font>
      <fill>
        <patternFill>
          <bgColor rgb="FFFFCCFF"/>
        </patternFill>
      </fill>
    </dxf>
    <dxf>
      <font>
        <b/>
        <i/>
        <color rgb="FFFF0000"/>
      </font>
      <fill>
        <patternFill>
          <bgColor rgb="FFFFCCFF"/>
        </patternFill>
      </fill>
    </dxf>
    <dxf>
      <font>
        <b/>
        <i/>
        <color rgb="FF0000FF"/>
      </font>
    </dxf>
    <dxf>
      <font>
        <b/>
        <i/>
        <color rgb="FF7030A0"/>
      </font>
    </dxf>
    <dxf>
      <font>
        <b val="0"/>
        <i val="0"/>
        <strike/>
        <color theme="1"/>
      </font>
      <fill>
        <patternFill>
          <bgColor theme="0" tint="-0.24994659260841701"/>
        </patternFill>
      </fill>
    </dxf>
  </dxfs>
  <tableStyles count="0" defaultTableStyle="TableStyleMedium9" defaultPivotStyle="PivotStyleLight16"/>
  <colors>
    <mruColors>
      <color rgb="FF0000FF"/>
      <color rgb="FFFFFFCC"/>
      <color rgb="FF993300"/>
      <color rgb="FFFF9900"/>
      <color rgb="FF008000"/>
      <color rgb="FFCCECFF"/>
      <color rgb="FFFFFF99"/>
      <color rgb="FFFF99FF"/>
      <color rgb="FFFFCCFF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476250</xdr:colOff>
      <xdr:row>0</xdr:row>
      <xdr:rowOff>0</xdr:rowOff>
    </xdr:to>
    <xdr:grpSp>
      <xdr:nvGrpSpPr>
        <xdr:cNvPr id="91155" name="Group 1"/>
        <xdr:cNvGrpSpPr>
          <a:grpSpLocks/>
        </xdr:cNvGrpSpPr>
      </xdr:nvGrpSpPr>
      <xdr:grpSpPr bwMode="auto">
        <a:xfrm>
          <a:off x="0" y="0"/>
          <a:ext cx="476250" cy="0"/>
          <a:chOff x="192" y="48"/>
          <a:chExt cx="712" cy="405"/>
        </a:xfrm>
      </xdr:grpSpPr>
      <xdr:sp macro="" textlink="">
        <xdr:nvSpPr>
          <xdr:cNvPr id="91157" name="Freeform 2"/>
          <xdr:cNvSpPr>
            <a:spLocks/>
          </xdr:cNvSpPr>
        </xdr:nvSpPr>
        <xdr:spPr bwMode="auto">
          <a:xfrm>
            <a:off x="641" y="349"/>
            <a:ext cx="125" cy="104"/>
          </a:xfrm>
          <a:custGeom>
            <a:avLst/>
            <a:gdLst>
              <a:gd name="T0" fmla="*/ 73 w 125"/>
              <a:gd name="T1" fmla="*/ 119 h 208"/>
              <a:gd name="T2" fmla="*/ 78 w 125"/>
              <a:gd name="T3" fmla="*/ 119 h 208"/>
              <a:gd name="T4" fmla="*/ 87 w 125"/>
              <a:gd name="T5" fmla="*/ 123 h 208"/>
              <a:gd name="T6" fmla="*/ 93 w 125"/>
              <a:gd name="T7" fmla="*/ 135 h 208"/>
              <a:gd name="T8" fmla="*/ 93 w 125"/>
              <a:gd name="T9" fmla="*/ 155 h 208"/>
              <a:gd name="T10" fmla="*/ 87 w 125"/>
              <a:gd name="T11" fmla="*/ 163 h 208"/>
              <a:gd name="T12" fmla="*/ 78 w 125"/>
              <a:gd name="T13" fmla="*/ 169 h 208"/>
              <a:gd name="T14" fmla="*/ 73 w 125"/>
              <a:gd name="T15" fmla="*/ 169 h 208"/>
              <a:gd name="T16" fmla="*/ 0 w 125"/>
              <a:gd name="T17" fmla="*/ 172 h 208"/>
              <a:gd name="T18" fmla="*/ 88 w 125"/>
              <a:gd name="T19" fmla="*/ 208 h 208"/>
              <a:gd name="T20" fmla="*/ 103 w 125"/>
              <a:gd name="T21" fmla="*/ 204 h 208"/>
              <a:gd name="T22" fmla="*/ 114 w 125"/>
              <a:gd name="T23" fmla="*/ 190 h 208"/>
              <a:gd name="T24" fmla="*/ 122 w 125"/>
              <a:gd name="T25" fmla="*/ 169 h 208"/>
              <a:gd name="T26" fmla="*/ 125 w 125"/>
              <a:gd name="T27" fmla="*/ 143 h 208"/>
              <a:gd name="T28" fmla="*/ 122 w 125"/>
              <a:gd name="T29" fmla="*/ 119 h 208"/>
              <a:gd name="T30" fmla="*/ 114 w 125"/>
              <a:gd name="T31" fmla="*/ 100 h 208"/>
              <a:gd name="T32" fmla="*/ 103 w 125"/>
              <a:gd name="T33" fmla="*/ 86 h 208"/>
              <a:gd name="T34" fmla="*/ 88 w 125"/>
              <a:gd name="T35" fmla="*/ 82 h 208"/>
              <a:gd name="T36" fmla="*/ 48 w 125"/>
              <a:gd name="T37" fmla="*/ 84 h 208"/>
              <a:gd name="T38" fmla="*/ 40 w 125"/>
              <a:gd name="T39" fmla="*/ 82 h 208"/>
              <a:gd name="T40" fmla="*/ 34 w 125"/>
              <a:gd name="T41" fmla="*/ 76 h 208"/>
              <a:gd name="T42" fmla="*/ 31 w 125"/>
              <a:gd name="T43" fmla="*/ 58 h 208"/>
              <a:gd name="T44" fmla="*/ 34 w 125"/>
              <a:gd name="T45" fmla="*/ 47 h 208"/>
              <a:gd name="T46" fmla="*/ 40 w 125"/>
              <a:gd name="T47" fmla="*/ 41 h 208"/>
              <a:gd name="T48" fmla="*/ 48 w 125"/>
              <a:gd name="T49" fmla="*/ 35 h 208"/>
              <a:gd name="T50" fmla="*/ 125 w 125"/>
              <a:gd name="T51" fmla="*/ 35 h 208"/>
              <a:gd name="T52" fmla="*/ 34 w 125"/>
              <a:gd name="T53" fmla="*/ 0 h 208"/>
              <a:gd name="T54" fmla="*/ 18 w 125"/>
              <a:gd name="T55" fmla="*/ 5 h 208"/>
              <a:gd name="T56" fmla="*/ 9 w 125"/>
              <a:gd name="T57" fmla="*/ 15 h 208"/>
              <a:gd name="T58" fmla="*/ 1 w 125"/>
              <a:gd name="T59" fmla="*/ 35 h 208"/>
              <a:gd name="T60" fmla="*/ 0 w 125"/>
              <a:gd name="T61" fmla="*/ 58 h 208"/>
              <a:gd name="T62" fmla="*/ 2 w 125"/>
              <a:gd name="T63" fmla="*/ 84 h 208"/>
              <a:gd name="T64" fmla="*/ 10 w 125"/>
              <a:gd name="T65" fmla="*/ 100 h 208"/>
              <a:gd name="T66" fmla="*/ 21 w 125"/>
              <a:gd name="T67" fmla="*/ 115 h 208"/>
              <a:gd name="T68" fmla="*/ 34 w 125"/>
              <a:gd name="T69" fmla="*/ 119 h 208"/>
              <a:gd name="T70" fmla="*/ 0 60000 65536"/>
              <a:gd name="T71" fmla="*/ 0 60000 65536"/>
              <a:gd name="T72" fmla="*/ 0 60000 65536"/>
              <a:gd name="T73" fmla="*/ 0 60000 65536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w 125"/>
              <a:gd name="T106" fmla="*/ 0 h 208"/>
              <a:gd name="T107" fmla="*/ 125 w 125"/>
              <a:gd name="T108" fmla="*/ 208 h 208"/>
            </a:gdLst>
            <a:ahLst/>
            <a:cxnLst>
              <a:cxn ang="T70">
                <a:pos x="T0" y="T1"/>
              </a:cxn>
              <a:cxn ang="T71">
                <a:pos x="T2" y="T3"/>
              </a:cxn>
              <a:cxn ang="T72">
                <a:pos x="T4" y="T5"/>
              </a:cxn>
              <a:cxn ang="T73">
                <a:pos x="T6" y="T7"/>
              </a:cxn>
              <a:cxn ang="T74">
                <a:pos x="T8" y="T9"/>
              </a:cxn>
              <a:cxn ang="T75">
                <a:pos x="T10" y="T11"/>
              </a:cxn>
              <a:cxn ang="T76">
                <a:pos x="T12" y="T13"/>
              </a:cxn>
              <a:cxn ang="T77">
                <a:pos x="T14" y="T15"/>
              </a:cxn>
              <a:cxn ang="T78">
                <a:pos x="T16" y="T17"/>
              </a:cxn>
              <a:cxn ang="T79">
                <a:pos x="T18" y="T19"/>
              </a:cxn>
              <a:cxn ang="T80">
                <a:pos x="T20" y="T21"/>
              </a:cxn>
              <a:cxn ang="T81">
                <a:pos x="T22" y="T23"/>
              </a:cxn>
              <a:cxn ang="T82">
                <a:pos x="T24" y="T25"/>
              </a:cxn>
              <a:cxn ang="T83">
                <a:pos x="T26" y="T27"/>
              </a:cxn>
              <a:cxn ang="T84">
                <a:pos x="T28" y="T29"/>
              </a:cxn>
              <a:cxn ang="T85">
                <a:pos x="T30" y="T31"/>
              </a:cxn>
              <a:cxn ang="T86">
                <a:pos x="T32" y="T33"/>
              </a:cxn>
              <a:cxn ang="T87">
                <a:pos x="T34" y="T35"/>
              </a:cxn>
              <a:cxn ang="T88">
                <a:pos x="T36" y="T37"/>
              </a:cxn>
              <a:cxn ang="T89">
                <a:pos x="T38" y="T39"/>
              </a:cxn>
              <a:cxn ang="T90">
                <a:pos x="T40" y="T41"/>
              </a:cxn>
              <a:cxn ang="T91">
                <a:pos x="T42" y="T43"/>
              </a:cxn>
              <a:cxn ang="T92">
                <a:pos x="T44" y="T45"/>
              </a:cxn>
              <a:cxn ang="T93">
                <a:pos x="T46" y="T47"/>
              </a:cxn>
              <a:cxn ang="T94">
                <a:pos x="T48" y="T49"/>
              </a:cxn>
              <a:cxn ang="T95">
                <a:pos x="T50" y="T51"/>
              </a:cxn>
              <a:cxn ang="T96">
                <a:pos x="T52" y="T53"/>
              </a:cxn>
              <a:cxn ang="T97">
                <a:pos x="T54" y="T55"/>
              </a:cxn>
              <a:cxn ang="T98">
                <a:pos x="T56" y="T57"/>
              </a:cxn>
              <a:cxn ang="T99">
                <a:pos x="T58" y="T59"/>
              </a:cxn>
              <a:cxn ang="T100">
                <a:pos x="T60" y="T61"/>
              </a:cxn>
              <a:cxn ang="T101">
                <a:pos x="T62" y="T63"/>
              </a:cxn>
              <a:cxn ang="T102">
                <a:pos x="T64" y="T65"/>
              </a:cxn>
              <a:cxn ang="T103">
                <a:pos x="T66" y="T67"/>
              </a:cxn>
              <a:cxn ang="T104">
                <a:pos x="T68" y="T69"/>
              </a:cxn>
            </a:cxnLst>
            <a:rect l="T105" t="T106" r="T107" b="T108"/>
            <a:pathLst>
              <a:path w="125" h="208">
                <a:moveTo>
                  <a:pt x="72" y="119"/>
                </a:moveTo>
                <a:lnTo>
                  <a:pt x="73" y="119"/>
                </a:lnTo>
                <a:lnTo>
                  <a:pt x="76" y="119"/>
                </a:lnTo>
                <a:lnTo>
                  <a:pt x="78" y="119"/>
                </a:lnTo>
                <a:lnTo>
                  <a:pt x="83" y="121"/>
                </a:lnTo>
                <a:lnTo>
                  <a:pt x="87" y="123"/>
                </a:lnTo>
                <a:lnTo>
                  <a:pt x="91" y="131"/>
                </a:lnTo>
                <a:lnTo>
                  <a:pt x="93" y="135"/>
                </a:lnTo>
                <a:lnTo>
                  <a:pt x="93" y="143"/>
                </a:lnTo>
                <a:lnTo>
                  <a:pt x="93" y="155"/>
                </a:lnTo>
                <a:lnTo>
                  <a:pt x="91" y="159"/>
                </a:lnTo>
                <a:lnTo>
                  <a:pt x="87" y="163"/>
                </a:lnTo>
                <a:lnTo>
                  <a:pt x="83" y="167"/>
                </a:lnTo>
                <a:lnTo>
                  <a:pt x="78" y="169"/>
                </a:lnTo>
                <a:lnTo>
                  <a:pt x="76" y="169"/>
                </a:lnTo>
                <a:lnTo>
                  <a:pt x="73" y="169"/>
                </a:lnTo>
                <a:lnTo>
                  <a:pt x="72" y="169"/>
                </a:lnTo>
                <a:lnTo>
                  <a:pt x="0" y="172"/>
                </a:lnTo>
                <a:lnTo>
                  <a:pt x="0" y="208"/>
                </a:lnTo>
                <a:lnTo>
                  <a:pt x="88" y="208"/>
                </a:lnTo>
                <a:lnTo>
                  <a:pt x="95" y="208"/>
                </a:lnTo>
                <a:lnTo>
                  <a:pt x="103" y="204"/>
                </a:lnTo>
                <a:lnTo>
                  <a:pt x="109" y="196"/>
                </a:lnTo>
                <a:lnTo>
                  <a:pt x="114" y="190"/>
                </a:lnTo>
                <a:lnTo>
                  <a:pt x="119" y="178"/>
                </a:lnTo>
                <a:lnTo>
                  <a:pt x="122" y="169"/>
                </a:lnTo>
                <a:lnTo>
                  <a:pt x="125" y="157"/>
                </a:lnTo>
                <a:lnTo>
                  <a:pt x="125" y="143"/>
                </a:lnTo>
                <a:lnTo>
                  <a:pt x="125" y="133"/>
                </a:lnTo>
                <a:lnTo>
                  <a:pt x="122" y="119"/>
                </a:lnTo>
                <a:lnTo>
                  <a:pt x="119" y="108"/>
                </a:lnTo>
                <a:lnTo>
                  <a:pt x="114" y="100"/>
                </a:lnTo>
                <a:lnTo>
                  <a:pt x="109" y="92"/>
                </a:lnTo>
                <a:lnTo>
                  <a:pt x="103" y="86"/>
                </a:lnTo>
                <a:lnTo>
                  <a:pt x="95" y="84"/>
                </a:lnTo>
                <a:lnTo>
                  <a:pt x="88" y="82"/>
                </a:lnTo>
                <a:lnTo>
                  <a:pt x="51" y="82"/>
                </a:lnTo>
                <a:lnTo>
                  <a:pt x="48" y="84"/>
                </a:lnTo>
                <a:lnTo>
                  <a:pt x="45" y="84"/>
                </a:lnTo>
                <a:lnTo>
                  <a:pt x="40" y="82"/>
                </a:lnTo>
                <a:lnTo>
                  <a:pt x="37" y="80"/>
                </a:lnTo>
                <a:lnTo>
                  <a:pt x="34" y="76"/>
                </a:lnTo>
                <a:lnTo>
                  <a:pt x="31" y="68"/>
                </a:lnTo>
                <a:lnTo>
                  <a:pt x="31" y="58"/>
                </a:lnTo>
                <a:lnTo>
                  <a:pt x="31" y="53"/>
                </a:lnTo>
                <a:lnTo>
                  <a:pt x="34" y="47"/>
                </a:lnTo>
                <a:lnTo>
                  <a:pt x="37" y="45"/>
                </a:lnTo>
                <a:lnTo>
                  <a:pt x="40" y="41"/>
                </a:lnTo>
                <a:lnTo>
                  <a:pt x="45" y="37"/>
                </a:lnTo>
                <a:lnTo>
                  <a:pt x="48" y="35"/>
                </a:lnTo>
                <a:lnTo>
                  <a:pt x="51" y="35"/>
                </a:lnTo>
                <a:lnTo>
                  <a:pt x="125" y="35"/>
                </a:lnTo>
                <a:lnTo>
                  <a:pt x="125" y="0"/>
                </a:lnTo>
                <a:lnTo>
                  <a:pt x="34" y="0"/>
                </a:lnTo>
                <a:lnTo>
                  <a:pt x="28" y="0"/>
                </a:lnTo>
                <a:lnTo>
                  <a:pt x="18" y="5"/>
                </a:lnTo>
                <a:lnTo>
                  <a:pt x="13" y="11"/>
                </a:lnTo>
                <a:lnTo>
                  <a:pt x="9" y="15"/>
                </a:lnTo>
                <a:lnTo>
                  <a:pt x="5" y="23"/>
                </a:lnTo>
                <a:lnTo>
                  <a:pt x="1" y="35"/>
                </a:lnTo>
                <a:lnTo>
                  <a:pt x="0" y="47"/>
                </a:lnTo>
                <a:lnTo>
                  <a:pt x="0" y="58"/>
                </a:lnTo>
                <a:lnTo>
                  <a:pt x="0" y="70"/>
                </a:lnTo>
                <a:lnTo>
                  <a:pt x="2" y="84"/>
                </a:lnTo>
                <a:lnTo>
                  <a:pt x="6" y="92"/>
                </a:lnTo>
                <a:lnTo>
                  <a:pt x="10" y="100"/>
                </a:lnTo>
                <a:lnTo>
                  <a:pt x="15" y="108"/>
                </a:lnTo>
                <a:lnTo>
                  <a:pt x="21" y="115"/>
                </a:lnTo>
                <a:lnTo>
                  <a:pt x="28" y="117"/>
                </a:lnTo>
                <a:lnTo>
                  <a:pt x="34" y="119"/>
                </a:lnTo>
                <a:lnTo>
                  <a:pt x="72" y="119"/>
                </a:lnTo>
                <a:close/>
              </a:path>
            </a:pathLst>
          </a:custGeom>
          <a:solidFill>
            <a:srgbClr val="FC0128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91158" name="Freeform 3"/>
          <xdr:cNvSpPr>
            <a:spLocks/>
          </xdr:cNvSpPr>
        </xdr:nvSpPr>
        <xdr:spPr bwMode="auto">
          <a:xfrm>
            <a:off x="789" y="349"/>
            <a:ext cx="115" cy="104"/>
          </a:xfrm>
          <a:custGeom>
            <a:avLst/>
            <a:gdLst>
              <a:gd name="T0" fmla="*/ 115 w 115"/>
              <a:gd name="T1" fmla="*/ 0 h 208"/>
              <a:gd name="T2" fmla="*/ 115 w 115"/>
              <a:gd name="T3" fmla="*/ 35 h 208"/>
              <a:gd name="T4" fmla="*/ 64 w 115"/>
              <a:gd name="T5" fmla="*/ 35 h 208"/>
              <a:gd name="T6" fmla="*/ 62 w 115"/>
              <a:gd name="T7" fmla="*/ 35 h 208"/>
              <a:gd name="T8" fmla="*/ 58 w 115"/>
              <a:gd name="T9" fmla="*/ 37 h 208"/>
              <a:gd name="T10" fmla="*/ 53 w 115"/>
              <a:gd name="T11" fmla="*/ 37 h 208"/>
              <a:gd name="T12" fmla="*/ 49 w 115"/>
              <a:gd name="T13" fmla="*/ 45 h 208"/>
              <a:gd name="T14" fmla="*/ 42 w 115"/>
              <a:gd name="T15" fmla="*/ 49 h 208"/>
              <a:gd name="T16" fmla="*/ 38 w 115"/>
              <a:gd name="T17" fmla="*/ 55 h 208"/>
              <a:gd name="T18" fmla="*/ 33 w 115"/>
              <a:gd name="T19" fmla="*/ 66 h 208"/>
              <a:gd name="T20" fmla="*/ 32 w 115"/>
              <a:gd name="T21" fmla="*/ 82 h 208"/>
              <a:gd name="T22" fmla="*/ 32 w 115"/>
              <a:gd name="T23" fmla="*/ 123 h 208"/>
              <a:gd name="T24" fmla="*/ 32 w 115"/>
              <a:gd name="T25" fmla="*/ 125 h 208"/>
              <a:gd name="T26" fmla="*/ 33 w 115"/>
              <a:gd name="T27" fmla="*/ 133 h 208"/>
              <a:gd name="T28" fmla="*/ 33 w 115"/>
              <a:gd name="T29" fmla="*/ 137 h 208"/>
              <a:gd name="T30" fmla="*/ 38 w 115"/>
              <a:gd name="T31" fmla="*/ 145 h 208"/>
              <a:gd name="T32" fmla="*/ 40 w 115"/>
              <a:gd name="T33" fmla="*/ 155 h 208"/>
              <a:gd name="T34" fmla="*/ 46 w 115"/>
              <a:gd name="T35" fmla="*/ 161 h 208"/>
              <a:gd name="T36" fmla="*/ 53 w 115"/>
              <a:gd name="T37" fmla="*/ 167 h 208"/>
              <a:gd name="T38" fmla="*/ 64 w 115"/>
              <a:gd name="T39" fmla="*/ 169 h 208"/>
              <a:gd name="T40" fmla="*/ 115 w 115"/>
              <a:gd name="T41" fmla="*/ 169 h 208"/>
              <a:gd name="T42" fmla="*/ 115 w 115"/>
              <a:gd name="T43" fmla="*/ 208 h 208"/>
              <a:gd name="T44" fmla="*/ 49 w 115"/>
              <a:gd name="T45" fmla="*/ 208 h 208"/>
              <a:gd name="T46" fmla="*/ 48 w 115"/>
              <a:gd name="T47" fmla="*/ 208 h 208"/>
              <a:gd name="T48" fmla="*/ 43 w 115"/>
              <a:gd name="T49" fmla="*/ 208 h 208"/>
              <a:gd name="T50" fmla="*/ 34 w 115"/>
              <a:gd name="T51" fmla="*/ 204 h 208"/>
              <a:gd name="T52" fmla="*/ 26 w 115"/>
              <a:gd name="T53" fmla="*/ 198 h 208"/>
              <a:gd name="T54" fmla="*/ 17 w 115"/>
              <a:gd name="T55" fmla="*/ 190 h 208"/>
              <a:gd name="T56" fmla="*/ 9 w 115"/>
              <a:gd name="T57" fmla="*/ 172 h 208"/>
              <a:gd name="T58" fmla="*/ 2 w 115"/>
              <a:gd name="T59" fmla="*/ 153 h 208"/>
              <a:gd name="T60" fmla="*/ 0 w 115"/>
              <a:gd name="T61" fmla="*/ 123 h 208"/>
              <a:gd name="T62" fmla="*/ 0 w 115"/>
              <a:gd name="T63" fmla="*/ 82 h 208"/>
              <a:gd name="T64" fmla="*/ 0 w 115"/>
              <a:gd name="T65" fmla="*/ 76 h 208"/>
              <a:gd name="T66" fmla="*/ 1 w 115"/>
              <a:gd name="T67" fmla="*/ 68 h 208"/>
              <a:gd name="T68" fmla="*/ 2 w 115"/>
              <a:gd name="T69" fmla="*/ 55 h 208"/>
              <a:gd name="T70" fmla="*/ 6 w 115"/>
              <a:gd name="T71" fmla="*/ 41 h 208"/>
              <a:gd name="T72" fmla="*/ 13 w 115"/>
              <a:gd name="T73" fmla="*/ 27 h 208"/>
              <a:gd name="T74" fmla="*/ 20 w 115"/>
              <a:gd name="T75" fmla="*/ 13 h 208"/>
              <a:gd name="T76" fmla="*/ 32 w 115"/>
              <a:gd name="T77" fmla="*/ 5 h 208"/>
              <a:gd name="T78" fmla="*/ 49 w 115"/>
              <a:gd name="T79" fmla="*/ 0 h 208"/>
              <a:gd name="T80" fmla="*/ 115 w 115"/>
              <a:gd name="T81" fmla="*/ 0 h 208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60000 65536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w 115"/>
              <a:gd name="T124" fmla="*/ 0 h 208"/>
              <a:gd name="T125" fmla="*/ 115 w 115"/>
              <a:gd name="T126" fmla="*/ 208 h 208"/>
            </a:gdLst>
            <a:ahLst/>
            <a:cxnLst>
              <a:cxn ang="T82">
                <a:pos x="T0" y="T1"/>
              </a:cxn>
              <a:cxn ang="T83">
                <a:pos x="T2" y="T3"/>
              </a:cxn>
              <a:cxn ang="T84">
                <a:pos x="T4" y="T5"/>
              </a:cxn>
              <a:cxn ang="T85">
                <a:pos x="T6" y="T7"/>
              </a:cxn>
              <a:cxn ang="T86">
                <a:pos x="T8" y="T9"/>
              </a:cxn>
              <a:cxn ang="T87">
                <a:pos x="T10" y="T11"/>
              </a:cxn>
              <a:cxn ang="T88">
                <a:pos x="T12" y="T13"/>
              </a:cxn>
              <a:cxn ang="T89">
                <a:pos x="T14" y="T15"/>
              </a:cxn>
              <a:cxn ang="T90">
                <a:pos x="T16" y="T17"/>
              </a:cxn>
              <a:cxn ang="T91">
                <a:pos x="T18" y="T19"/>
              </a:cxn>
              <a:cxn ang="T92">
                <a:pos x="T20" y="T21"/>
              </a:cxn>
              <a:cxn ang="T93">
                <a:pos x="T22" y="T23"/>
              </a:cxn>
              <a:cxn ang="T94">
                <a:pos x="T24" y="T25"/>
              </a:cxn>
              <a:cxn ang="T95">
                <a:pos x="T26" y="T27"/>
              </a:cxn>
              <a:cxn ang="T96">
                <a:pos x="T28" y="T29"/>
              </a:cxn>
              <a:cxn ang="T97">
                <a:pos x="T30" y="T31"/>
              </a:cxn>
              <a:cxn ang="T98">
                <a:pos x="T32" y="T33"/>
              </a:cxn>
              <a:cxn ang="T99">
                <a:pos x="T34" y="T35"/>
              </a:cxn>
              <a:cxn ang="T100">
                <a:pos x="T36" y="T37"/>
              </a:cxn>
              <a:cxn ang="T101">
                <a:pos x="T38" y="T39"/>
              </a:cxn>
              <a:cxn ang="T102">
                <a:pos x="T40" y="T41"/>
              </a:cxn>
              <a:cxn ang="T103">
                <a:pos x="T42" y="T43"/>
              </a:cxn>
              <a:cxn ang="T104">
                <a:pos x="T44" y="T45"/>
              </a:cxn>
              <a:cxn ang="T105">
                <a:pos x="T46" y="T47"/>
              </a:cxn>
              <a:cxn ang="T106">
                <a:pos x="T48" y="T49"/>
              </a:cxn>
              <a:cxn ang="T107">
                <a:pos x="T50" y="T51"/>
              </a:cxn>
              <a:cxn ang="T108">
                <a:pos x="T52" y="T53"/>
              </a:cxn>
              <a:cxn ang="T109">
                <a:pos x="T54" y="T55"/>
              </a:cxn>
              <a:cxn ang="T110">
                <a:pos x="T56" y="T57"/>
              </a:cxn>
              <a:cxn ang="T111">
                <a:pos x="T58" y="T59"/>
              </a:cxn>
              <a:cxn ang="T112">
                <a:pos x="T60" y="T61"/>
              </a:cxn>
              <a:cxn ang="T113">
                <a:pos x="T62" y="T63"/>
              </a:cxn>
              <a:cxn ang="T114">
                <a:pos x="T64" y="T65"/>
              </a:cxn>
              <a:cxn ang="T115">
                <a:pos x="T66" y="T67"/>
              </a:cxn>
              <a:cxn ang="T116">
                <a:pos x="T68" y="T69"/>
              </a:cxn>
              <a:cxn ang="T117">
                <a:pos x="T70" y="T71"/>
              </a:cxn>
              <a:cxn ang="T118">
                <a:pos x="T72" y="T73"/>
              </a:cxn>
              <a:cxn ang="T119">
                <a:pos x="T74" y="T75"/>
              </a:cxn>
              <a:cxn ang="T120">
                <a:pos x="T76" y="T77"/>
              </a:cxn>
              <a:cxn ang="T121">
                <a:pos x="T78" y="T79"/>
              </a:cxn>
              <a:cxn ang="T122">
                <a:pos x="T80" y="T81"/>
              </a:cxn>
            </a:cxnLst>
            <a:rect l="T123" t="T124" r="T125" b="T126"/>
            <a:pathLst>
              <a:path w="115" h="208">
                <a:moveTo>
                  <a:pt x="115" y="0"/>
                </a:moveTo>
                <a:lnTo>
                  <a:pt x="115" y="35"/>
                </a:lnTo>
                <a:lnTo>
                  <a:pt x="64" y="35"/>
                </a:lnTo>
                <a:lnTo>
                  <a:pt x="62" y="35"/>
                </a:lnTo>
                <a:lnTo>
                  <a:pt x="58" y="37"/>
                </a:lnTo>
                <a:lnTo>
                  <a:pt x="53" y="37"/>
                </a:lnTo>
                <a:lnTo>
                  <a:pt x="49" y="45"/>
                </a:lnTo>
                <a:lnTo>
                  <a:pt x="42" y="49"/>
                </a:lnTo>
                <a:lnTo>
                  <a:pt x="38" y="55"/>
                </a:lnTo>
                <a:lnTo>
                  <a:pt x="33" y="66"/>
                </a:lnTo>
                <a:lnTo>
                  <a:pt x="32" y="82"/>
                </a:lnTo>
                <a:lnTo>
                  <a:pt x="32" y="123"/>
                </a:lnTo>
                <a:lnTo>
                  <a:pt x="32" y="125"/>
                </a:lnTo>
                <a:lnTo>
                  <a:pt x="33" y="133"/>
                </a:lnTo>
                <a:lnTo>
                  <a:pt x="33" y="137"/>
                </a:lnTo>
                <a:lnTo>
                  <a:pt x="38" y="145"/>
                </a:lnTo>
                <a:lnTo>
                  <a:pt x="40" y="155"/>
                </a:lnTo>
                <a:lnTo>
                  <a:pt x="46" y="161"/>
                </a:lnTo>
                <a:lnTo>
                  <a:pt x="53" y="167"/>
                </a:lnTo>
                <a:lnTo>
                  <a:pt x="64" y="169"/>
                </a:lnTo>
                <a:lnTo>
                  <a:pt x="115" y="169"/>
                </a:lnTo>
                <a:lnTo>
                  <a:pt x="115" y="208"/>
                </a:lnTo>
                <a:lnTo>
                  <a:pt x="49" y="208"/>
                </a:lnTo>
                <a:lnTo>
                  <a:pt x="48" y="208"/>
                </a:lnTo>
                <a:lnTo>
                  <a:pt x="43" y="208"/>
                </a:lnTo>
                <a:lnTo>
                  <a:pt x="34" y="204"/>
                </a:lnTo>
                <a:lnTo>
                  <a:pt x="26" y="198"/>
                </a:lnTo>
                <a:lnTo>
                  <a:pt x="17" y="190"/>
                </a:lnTo>
                <a:lnTo>
                  <a:pt x="9" y="172"/>
                </a:lnTo>
                <a:lnTo>
                  <a:pt x="2" y="153"/>
                </a:lnTo>
                <a:lnTo>
                  <a:pt x="0" y="123"/>
                </a:lnTo>
                <a:lnTo>
                  <a:pt x="0" y="82"/>
                </a:lnTo>
                <a:lnTo>
                  <a:pt x="0" y="76"/>
                </a:lnTo>
                <a:lnTo>
                  <a:pt x="1" y="68"/>
                </a:lnTo>
                <a:lnTo>
                  <a:pt x="2" y="55"/>
                </a:lnTo>
                <a:lnTo>
                  <a:pt x="6" y="41"/>
                </a:lnTo>
                <a:lnTo>
                  <a:pt x="13" y="27"/>
                </a:lnTo>
                <a:lnTo>
                  <a:pt x="20" y="13"/>
                </a:lnTo>
                <a:lnTo>
                  <a:pt x="32" y="5"/>
                </a:lnTo>
                <a:lnTo>
                  <a:pt x="49" y="0"/>
                </a:lnTo>
                <a:lnTo>
                  <a:pt x="115" y="0"/>
                </a:lnTo>
                <a:close/>
              </a:path>
            </a:pathLst>
          </a:custGeom>
          <a:solidFill>
            <a:srgbClr val="FC0128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91159" name="Freeform 4"/>
          <xdr:cNvSpPr>
            <a:spLocks/>
          </xdr:cNvSpPr>
        </xdr:nvSpPr>
        <xdr:spPr bwMode="auto">
          <a:xfrm>
            <a:off x="494" y="349"/>
            <a:ext cx="125" cy="104"/>
          </a:xfrm>
          <a:custGeom>
            <a:avLst/>
            <a:gdLst>
              <a:gd name="T0" fmla="*/ 66 w 125"/>
              <a:gd name="T1" fmla="*/ 35 h 208"/>
              <a:gd name="T2" fmla="*/ 75 w 125"/>
              <a:gd name="T3" fmla="*/ 35 h 208"/>
              <a:gd name="T4" fmla="*/ 82 w 125"/>
              <a:gd name="T5" fmla="*/ 35 h 208"/>
              <a:gd name="T6" fmla="*/ 86 w 125"/>
              <a:gd name="T7" fmla="*/ 37 h 208"/>
              <a:gd name="T8" fmla="*/ 91 w 125"/>
              <a:gd name="T9" fmla="*/ 41 h 208"/>
              <a:gd name="T10" fmla="*/ 94 w 125"/>
              <a:gd name="T11" fmla="*/ 45 h 208"/>
              <a:gd name="T12" fmla="*/ 98 w 125"/>
              <a:gd name="T13" fmla="*/ 47 h 208"/>
              <a:gd name="T14" fmla="*/ 99 w 125"/>
              <a:gd name="T15" fmla="*/ 53 h 208"/>
              <a:gd name="T16" fmla="*/ 100 w 125"/>
              <a:gd name="T17" fmla="*/ 58 h 208"/>
              <a:gd name="T18" fmla="*/ 99 w 125"/>
              <a:gd name="T19" fmla="*/ 68 h 208"/>
              <a:gd name="T20" fmla="*/ 98 w 125"/>
              <a:gd name="T21" fmla="*/ 72 h 208"/>
              <a:gd name="T22" fmla="*/ 94 w 125"/>
              <a:gd name="T23" fmla="*/ 76 h 208"/>
              <a:gd name="T24" fmla="*/ 91 w 125"/>
              <a:gd name="T25" fmla="*/ 82 h 208"/>
              <a:gd name="T26" fmla="*/ 86 w 125"/>
              <a:gd name="T27" fmla="*/ 86 h 208"/>
              <a:gd name="T28" fmla="*/ 82 w 125"/>
              <a:gd name="T29" fmla="*/ 86 h 208"/>
              <a:gd name="T30" fmla="*/ 75 w 125"/>
              <a:gd name="T31" fmla="*/ 88 h 208"/>
              <a:gd name="T32" fmla="*/ 66 w 125"/>
              <a:gd name="T33" fmla="*/ 88 h 208"/>
              <a:gd name="T34" fmla="*/ 0 w 125"/>
              <a:gd name="T35" fmla="*/ 88 h 208"/>
              <a:gd name="T36" fmla="*/ 0 w 125"/>
              <a:gd name="T37" fmla="*/ 208 h 208"/>
              <a:gd name="T38" fmla="*/ 32 w 125"/>
              <a:gd name="T39" fmla="*/ 208 h 208"/>
              <a:gd name="T40" fmla="*/ 32 w 125"/>
              <a:gd name="T41" fmla="*/ 123 h 208"/>
              <a:gd name="T42" fmla="*/ 82 w 125"/>
              <a:gd name="T43" fmla="*/ 123 h 208"/>
              <a:gd name="T44" fmla="*/ 91 w 125"/>
              <a:gd name="T45" fmla="*/ 123 h 208"/>
              <a:gd name="T46" fmla="*/ 98 w 125"/>
              <a:gd name="T47" fmla="*/ 121 h 208"/>
              <a:gd name="T48" fmla="*/ 104 w 125"/>
              <a:gd name="T49" fmla="*/ 117 h 208"/>
              <a:gd name="T50" fmla="*/ 110 w 125"/>
              <a:gd name="T51" fmla="*/ 108 h 208"/>
              <a:gd name="T52" fmla="*/ 118 w 125"/>
              <a:gd name="T53" fmla="*/ 100 h 208"/>
              <a:gd name="T54" fmla="*/ 120 w 125"/>
              <a:gd name="T55" fmla="*/ 88 h 208"/>
              <a:gd name="T56" fmla="*/ 125 w 125"/>
              <a:gd name="T57" fmla="*/ 76 h 208"/>
              <a:gd name="T58" fmla="*/ 125 w 125"/>
              <a:gd name="T59" fmla="*/ 58 h 208"/>
              <a:gd name="T60" fmla="*/ 125 w 125"/>
              <a:gd name="T61" fmla="*/ 47 h 208"/>
              <a:gd name="T62" fmla="*/ 120 w 125"/>
              <a:gd name="T63" fmla="*/ 31 h 208"/>
              <a:gd name="T64" fmla="*/ 118 w 125"/>
              <a:gd name="T65" fmla="*/ 21 h 208"/>
              <a:gd name="T66" fmla="*/ 110 w 125"/>
              <a:gd name="T67" fmla="*/ 13 h 208"/>
              <a:gd name="T68" fmla="*/ 104 w 125"/>
              <a:gd name="T69" fmla="*/ 9 h 208"/>
              <a:gd name="T70" fmla="*/ 98 w 125"/>
              <a:gd name="T71" fmla="*/ 5 h 208"/>
              <a:gd name="T72" fmla="*/ 91 w 125"/>
              <a:gd name="T73" fmla="*/ 0 h 208"/>
              <a:gd name="T74" fmla="*/ 82 w 125"/>
              <a:gd name="T75" fmla="*/ 0 h 208"/>
              <a:gd name="T76" fmla="*/ 0 w 125"/>
              <a:gd name="T77" fmla="*/ 0 h 208"/>
              <a:gd name="T78" fmla="*/ 0 w 125"/>
              <a:gd name="T79" fmla="*/ 35 h 208"/>
              <a:gd name="T80" fmla="*/ 66 w 125"/>
              <a:gd name="T81" fmla="*/ 35 h 208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60000 65536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w 125"/>
              <a:gd name="T124" fmla="*/ 0 h 208"/>
              <a:gd name="T125" fmla="*/ 125 w 125"/>
              <a:gd name="T126" fmla="*/ 208 h 208"/>
            </a:gdLst>
            <a:ahLst/>
            <a:cxnLst>
              <a:cxn ang="T82">
                <a:pos x="T0" y="T1"/>
              </a:cxn>
              <a:cxn ang="T83">
                <a:pos x="T2" y="T3"/>
              </a:cxn>
              <a:cxn ang="T84">
                <a:pos x="T4" y="T5"/>
              </a:cxn>
              <a:cxn ang="T85">
                <a:pos x="T6" y="T7"/>
              </a:cxn>
              <a:cxn ang="T86">
                <a:pos x="T8" y="T9"/>
              </a:cxn>
              <a:cxn ang="T87">
                <a:pos x="T10" y="T11"/>
              </a:cxn>
              <a:cxn ang="T88">
                <a:pos x="T12" y="T13"/>
              </a:cxn>
              <a:cxn ang="T89">
                <a:pos x="T14" y="T15"/>
              </a:cxn>
              <a:cxn ang="T90">
                <a:pos x="T16" y="T17"/>
              </a:cxn>
              <a:cxn ang="T91">
                <a:pos x="T18" y="T19"/>
              </a:cxn>
              <a:cxn ang="T92">
                <a:pos x="T20" y="T21"/>
              </a:cxn>
              <a:cxn ang="T93">
                <a:pos x="T22" y="T23"/>
              </a:cxn>
              <a:cxn ang="T94">
                <a:pos x="T24" y="T25"/>
              </a:cxn>
              <a:cxn ang="T95">
                <a:pos x="T26" y="T27"/>
              </a:cxn>
              <a:cxn ang="T96">
                <a:pos x="T28" y="T29"/>
              </a:cxn>
              <a:cxn ang="T97">
                <a:pos x="T30" y="T31"/>
              </a:cxn>
              <a:cxn ang="T98">
                <a:pos x="T32" y="T33"/>
              </a:cxn>
              <a:cxn ang="T99">
                <a:pos x="T34" y="T35"/>
              </a:cxn>
              <a:cxn ang="T100">
                <a:pos x="T36" y="T37"/>
              </a:cxn>
              <a:cxn ang="T101">
                <a:pos x="T38" y="T39"/>
              </a:cxn>
              <a:cxn ang="T102">
                <a:pos x="T40" y="T41"/>
              </a:cxn>
              <a:cxn ang="T103">
                <a:pos x="T42" y="T43"/>
              </a:cxn>
              <a:cxn ang="T104">
                <a:pos x="T44" y="T45"/>
              </a:cxn>
              <a:cxn ang="T105">
                <a:pos x="T46" y="T47"/>
              </a:cxn>
              <a:cxn ang="T106">
                <a:pos x="T48" y="T49"/>
              </a:cxn>
              <a:cxn ang="T107">
                <a:pos x="T50" y="T51"/>
              </a:cxn>
              <a:cxn ang="T108">
                <a:pos x="T52" y="T53"/>
              </a:cxn>
              <a:cxn ang="T109">
                <a:pos x="T54" y="T55"/>
              </a:cxn>
              <a:cxn ang="T110">
                <a:pos x="T56" y="T57"/>
              </a:cxn>
              <a:cxn ang="T111">
                <a:pos x="T58" y="T59"/>
              </a:cxn>
              <a:cxn ang="T112">
                <a:pos x="T60" y="T61"/>
              </a:cxn>
              <a:cxn ang="T113">
                <a:pos x="T62" y="T63"/>
              </a:cxn>
              <a:cxn ang="T114">
                <a:pos x="T64" y="T65"/>
              </a:cxn>
              <a:cxn ang="T115">
                <a:pos x="T66" y="T67"/>
              </a:cxn>
              <a:cxn ang="T116">
                <a:pos x="T68" y="T69"/>
              </a:cxn>
              <a:cxn ang="T117">
                <a:pos x="T70" y="T71"/>
              </a:cxn>
              <a:cxn ang="T118">
                <a:pos x="T72" y="T73"/>
              </a:cxn>
              <a:cxn ang="T119">
                <a:pos x="T74" y="T75"/>
              </a:cxn>
              <a:cxn ang="T120">
                <a:pos x="T76" y="T77"/>
              </a:cxn>
              <a:cxn ang="T121">
                <a:pos x="T78" y="T79"/>
              </a:cxn>
              <a:cxn ang="T122">
                <a:pos x="T80" y="T81"/>
              </a:cxn>
            </a:cxnLst>
            <a:rect l="T123" t="T124" r="T125" b="T126"/>
            <a:pathLst>
              <a:path w="125" h="208">
                <a:moveTo>
                  <a:pt x="66" y="35"/>
                </a:moveTo>
                <a:lnTo>
                  <a:pt x="75" y="35"/>
                </a:lnTo>
                <a:lnTo>
                  <a:pt x="82" y="35"/>
                </a:lnTo>
                <a:lnTo>
                  <a:pt x="86" y="37"/>
                </a:lnTo>
                <a:lnTo>
                  <a:pt x="91" y="41"/>
                </a:lnTo>
                <a:lnTo>
                  <a:pt x="94" y="45"/>
                </a:lnTo>
                <a:lnTo>
                  <a:pt x="98" y="47"/>
                </a:lnTo>
                <a:lnTo>
                  <a:pt x="99" y="53"/>
                </a:lnTo>
                <a:lnTo>
                  <a:pt x="100" y="58"/>
                </a:lnTo>
                <a:lnTo>
                  <a:pt x="99" y="68"/>
                </a:lnTo>
                <a:lnTo>
                  <a:pt x="98" y="72"/>
                </a:lnTo>
                <a:lnTo>
                  <a:pt x="94" y="76"/>
                </a:lnTo>
                <a:lnTo>
                  <a:pt x="91" y="82"/>
                </a:lnTo>
                <a:lnTo>
                  <a:pt x="86" y="86"/>
                </a:lnTo>
                <a:lnTo>
                  <a:pt x="82" y="86"/>
                </a:lnTo>
                <a:lnTo>
                  <a:pt x="75" y="88"/>
                </a:lnTo>
                <a:lnTo>
                  <a:pt x="66" y="88"/>
                </a:lnTo>
                <a:lnTo>
                  <a:pt x="0" y="88"/>
                </a:lnTo>
                <a:lnTo>
                  <a:pt x="0" y="208"/>
                </a:lnTo>
                <a:lnTo>
                  <a:pt x="32" y="208"/>
                </a:lnTo>
                <a:lnTo>
                  <a:pt x="32" y="123"/>
                </a:lnTo>
                <a:lnTo>
                  <a:pt x="82" y="123"/>
                </a:lnTo>
                <a:lnTo>
                  <a:pt x="91" y="123"/>
                </a:lnTo>
                <a:lnTo>
                  <a:pt x="98" y="121"/>
                </a:lnTo>
                <a:lnTo>
                  <a:pt x="104" y="117"/>
                </a:lnTo>
                <a:lnTo>
                  <a:pt x="110" y="108"/>
                </a:lnTo>
                <a:lnTo>
                  <a:pt x="118" y="100"/>
                </a:lnTo>
                <a:lnTo>
                  <a:pt x="120" y="88"/>
                </a:lnTo>
                <a:lnTo>
                  <a:pt x="125" y="76"/>
                </a:lnTo>
                <a:lnTo>
                  <a:pt x="125" y="58"/>
                </a:lnTo>
                <a:lnTo>
                  <a:pt x="125" y="47"/>
                </a:lnTo>
                <a:lnTo>
                  <a:pt x="120" y="31"/>
                </a:lnTo>
                <a:lnTo>
                  <a:pt x="118" y="21"/>
                </a:lnTo>
                <a:lnTo>
                  <a:pt x="110" y="13"/>
                </a:lnTo>
                <a:lnTo>
                  <a:pt x="104" y="9"/>
                </a:lnTo>
                <a:lnTo>
                  <a:pt x="98" y="5"/>
                </a:lnTo>
                <a:lnTo>
                  <a:pt x="91" y="0"/>
                </a:lnTo>
                <a:lnTo>
                  <a:pt x="82" y="0"/>
                </a:lnTo>
                <a:lnTo>
                  <a:pt x="0" y="0"/>
                </a:lnTo>
                <a:lnTo>
                  <a:pt x="0" y="35"/>
                </a:lnTo>
                <a:lnTo>
                  <a:pt x="66" y="35"/>
                </a:lnTo>
                <a:close/>
              </a:path>
            </a:pathLst>
          </a:custGeom>
          <a:solidFill>
            <a:srgbClr val="FC0128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91160" name="Freeform 5"/>
          <xdr:cNvSpPr>
            <a:spLocks/>
          </xdr:cNvSpPr>
        </xdr:nvSpPr>
        <xdr:spPr bwMode="auto">
          <a:xfrm>
            <a:off x="475" y="317"/>
            <a:ext cx="173" cy="10"/>
          </a:xfrm>
          <a:custGeom>
            <a:avLst/>
            <a:gdLst>
              <a:gd name="T0" fmla="*/ 9 w 173"/>
              <a:gd name="T1" fmla="*/ 0 h 19"/>
              <a:gd name="T2" fmla="*/ 173 w 173"/>
              <a:gd name="T3" fmla="*/ 0 h 19"/>
              <a:gd name="T4" fmla="*/ 164 w 173"/>
              <a:gd name="T5" fmla="*/ 19 h 19"/>
              <a:gd name="T6" fmla="*/ 0 w 173"/>
              <a:gd name="T7" fmla="*/ 19 h 19"/>
              <a:gd name="T8" fmla="*/ 9 w 173"/>
              <a:gd name="T9" fmla="*/ 0 h 19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73"/>
              <a:gd name="T16" fmla="*/ 0 h 19"/>
              <a:gd name="T17" fmla="*/ 173 w 173"/>
              <a:gd name="T18" fmla="*/ 19 h 19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73" h="19">
                <a:moveTo>
                  <a:pt x="9" y="0"/>
                </a:moveTo>
                <a:lnTo>
                  <a:pt x="173" y="0"/>
                </a:lnTo>
                <a:lnTo>
                  <a:pt x="164" y="19"/>
                </a:lnTo>
                <a:lnTo>
                  <a:pt x="0" y="19"/>
                </a:lnTo>
                <a:lnTo>
                  <a:pt x="9" y="0"/>
                </a:lnTo>
                <a:close/>
              </a:path>
            </a:pathLst>
          </a:custGeom>
          <a:solidFill>
            <a:srgbClr val="00AE00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91161" name="Freeform 6"/>
          <xdr:cNvSpPr>
            <a:spLocks/>
          </xdr:cNvSpPr>
        </xdr:nvSpPr>
        <xdr:spPr bwMode="auto">
          <a:xfrm>
            <a:off x="494" y="301"/>
            <a:ext cx="184" cy="10"/>
          </a:xfrm>
          <a:custGeom>
            <a:avLst/>
            <a:gdLst>
              <a:gd name="T0" fmla="*/ 10 w 184"/>
              <a:gd name="T1" fmla="*/ 0 h 22"/>
              <a:gd name="T2" fmla="*/ 184 w 184"/>
              <a:gd name="T3" fmla="*/ 0 h 22"/>
              <a:gd name="T4" fmla="*/ 168 w 184"/>
              <a:gd name="T5" fmla="*/ 22 h 22"/>
              <a:gd name="T6" fmla="*/ 0 w 184"/>
              <a:gd name="T7" fmla="*/ 22 h 22"/>
              <a:gd name="T8" fmla="*/ 10 w 184"/>
              <a:gd name="T9" fmla="*/ 0 h 22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84"/>
              <a:gd name="T16" fmla="*/ 0 h 22"/>
              <a:gd name="T17" fmla="*/ 184 w 184"/>
              <a:gd name="T18" fmla="*/ 22 h 22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84" h="22">
                <a:moveTo>
                  <a:pt x="10" y="0"/>
                </a:moveTo>
                <a:lnTo>
                  <a:pt x="184" y="0"/>
                </a:lnTo>
                <a:lnTo>
                  <a:pt x="168" y="22"/>
                </a:lnTo>
                <a:lnTo>
                  <a:pt x="0" y="22"/>
                </a:lnTo>
                <a:lnTo>
                  <a:pt x="10" y="0"/>
                </a:lnTo>
                <a:close/>
              </a:path>
            </a:pathLst>
          </a:custGeom>
          <a:solidFill>
            <a:srgbClr val="00AE00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91162" name="Freeform 7"/>
          <xdr:cNvSpPr>
            <a:spLocks/>
          </xdr:cNvSpPr>
        </xdr:nvSpPr>
        <xdr:spPr bwMode="auto">
          <a:xfrm>
            <a:off x="517" y="284"/>
            <a:ext cx="177" cy="13"/>
          </a:xfrm>
          <a:custGeom>
            <a:avLst/>
            <a:gdLst>
              <a:gd name="T0" fmla="*/ 10 w 177"/>
              <a:gd name="T1" fmla="*/ 0 h 25"/>
              <a:gd name="T2" fmla="*/ 177 w 177"/>
              <a:gd name="T3" fmla="*/ 0 h 25"/>
              <a:gd name="T4" fmla="*/ 161 w 177"/>
              <a:gd name="T5" fmla="*/ 25 h 25"/>
              <a:gd name="T6" fmla="*/ 0 w 177"/>
              <a:gd name="T7" fmla="*/ 25 h 25"/>
              <a:gd name="T8" fmla="*/ 10 w 177"/>
              <a:gd name="T9" fmla="*/ 0 h 25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77"/>
              <a:gd name="T16" fmla="*/ 0 h 25"/>
              <a:gd name="T17" fmla="*/ 177 w 177"/>
              <a:gd name="T18" fmla="*/ 25 h 25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77" h="25">
                <a:moveTo>
                  <a:pt x="10" y="0"/>
                </a:moveTo>
                <a:lnTo>
                  <a:pt x="177" y="0"/>
                </a:lnTo>
                <a:lnTo>
                  <a:pt x="161" y="25"/>
                </a:lnTo>
                <a:lnTo>
                  <a:pt x="0" y="25"/>
                </a:lnTo>
                <a:lnTo>
                  <a:pt x="10" y="0"/>
                </a:lnTo>
                <a:close/>
              </a:path>
            </a:pathLst>
          </a:custGeom>
          <a:solidFill>
            <a:srgbClr val="00AE00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91163" name="Freeform 8"/>
          <xdr:cNvSpPr>
            <a:spLocks/>
          </xdr:cNvSpPr>
        </xdr:nvSpPr>
        <xdr:spPr bwMode="auto">
          <a:xfrm>
            <a:off x="538" y="269"/>
            <a:ext cx="179" cy="11"/>
          </a:xfrm>
          <a:custGeom>
            <a:avLst/>
            <a:gdLst>
              <a:gd name="T0" fmla="*/ 10 w 179"/>
              <a:gd name="T1" fmla="*/ 0 h 22"/>
              <a:gd name="T2" fmla="*/ 179 w 179"/>
              <a:gd name="T3" fmla="*/ 0 h 22"/>
              <a:gd name="T4" fmla="*/ 169 w 179"/>
              <a:gd name="T5" fmla="*/ 22 h 22"/>
              <a:gd name="T6" fmla="*/ 0 w 179"/>
              <a:gd name="T7" fmla="*/ 22 h 22"/>
              <a:gd name="T8" fmla="*/ 10 w 179"/>
              <a:gd name="T9" fmla="*/ 0 h 22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79"/>
              <a:gd name="T16" fmla="*/ 0 h 22"/>
              <a:gd name="T17" fmla="*/ 179 w 179"/>
              <a:gd name="T18" fmla="*/ 22 h 22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79" h="22">
                <a:moveTo>
                  <a:pt x="10" y="0"/>
                </a:moveTo>
                <a:lnTo>
                  <a:pt x="179" y="0"/>
                </a:lnTo>
                <a:lnTo>
                  <a:pt x="169" y="22"/>
                </a:lnTo>
                <a:lnTo>
                  <a:pt x="0" y="22"/>
                </a:lnTo>
                <a:lnTo>
                  <a:pt x="10" y="0"/>
                </a:lnTo>
                <a:close/>
              </a:path>
            </a:pathLst>
          </a:custGeom>
          <a:solidFill>
            <a:srgbClr val="00AE00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91164" name="Freeform 9"/>
          <xdr:cNvSpPr>
            <a:spLocks/>
          </xdr:cNvSpPr>
        </xdr:nvSpPr>
        <xdr:spPr bwMode="auto">
          <a:xfrm>
            <a:off x="552" y="252"/>
            <a:ext cx="184" cy="12"/>
          </a:xfrm>
          <a:custGeom>
            <a:avLst/>
            <a:gdLst>
              <a:gd name="T0" fmla="*/ 16 w 184"/>
              <a:gd name="T1" fmla="*/ 0 h 23"/>
              <a:gd name="T2" fmla="*/ 184 w 184"/>
              <a:gd name="T3" fmla="*/ 0 h 23"/>
              <a:gd name="T4" fmla="*/ 175 w 184"/>
              <a:gd name="T5" fmla="*/ 23 h 23"/>
              <a:gd name="T6" fmla="*/ 0 w 184"/>
              <a:gd name="T7" fmla="*/ 23 h 23"/>
              <a:gd name="T8" fmla="*/ 16 w 184"/>
              <a:gd name="T9" fmla="*/ 0 h 23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84"/>
              <a:gd name="T16" fmla="*/ 0 h 23"/>
              <a:gd name="T17" fmla="*/ 184 w 184"/>
              <a:gd name="T18" fmla="*/ 23 h 23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84" h="23">
                <a:moveTo>
                  <a:pt x="16" y="0"/>
                </a:moveTo>
                <a:lnTo>
                  <a:pt x="184" y="0"/>
                </a:lnTo>
                <a:lnTo>
                  <a:pt x="175" y="23"/>
                </a:lnTo>
                <a:lnTo>
                  <a:pt x="0" y="23"/>
                </a:lnTo>
                <a:lnTo>
                  <a:pt x="16" y="0"/>
                </a:lnTo>
                <a:close/>
              </a:path>
            </a:pathLst>
          </a:custGeom>
          <a:solidFill>
            <a:srgbClr val="00AE00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91165" name="Freeform 10"/>
          <xdr:cNvSpPr>
            <a:spLocks/>
          </xdr:cNvSpPr>
        </xdr:nvSpPr>
        <xdr:spPr bwMode="auto">
          <a:xfrm>
            <a:off x="192" y="252"/>
            <a:ext cx="268" cy="201"/>
          </a:xfrm>
          <a:custGeom>
            <a:avLst/>
            <a:gdLst>
              <a:gd name="T0" fmla="*/ 0 w 268"/>
              <a:gd name="T1" fmla="*/ 0 h 401"/>
              <a:gd name="T2" fmla="*/ 169 w 268"/>
              <a:gd name="T3" fmla="*/ 0 h 401"/>
              <a:gd name="T4" fmla="*/ 268 w 268"/>
              <a:gd name="T5" fmla="*/ 145 h 401"/>
              <a:gd name="T6" fmla="*/ 268 w 268"/>
              <a:gd name="T7" fmla="*/ 401 h 401"/>
              <a:gd name="T8" fmla="*/ 0 w 268"/>
              <a:gd name="T9" fmla="*/ 0 h 401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268"/>
              <a:gd name="T16" fmla="*/ 0 h 401"/>
              <a:gd name="T17" fmla="*/ 268 w 268"/>
              <a:gd name="T18" fmla="*/ 401 h 401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268" h="401">
                <a:moveTo>
                  <a:pt x="0" y="0"/>
                </a:moveTo>
                <a:lnTo>
                  <a:pt x="169" y="0"/>
                </a:lnTo>
                <a:lnTo>
                  <a:pt x="268" y="145"/>
                </a:lnTo>
                <a:lnTo>
                  <a:pt x="268" y="401"/>
                </a:lnTo>
                <a:lnTo>
                  <a:pt x="0" y="0"/>
                </a:lnTo>
                <a:close/>
              </a:path>
            </a:pathLst>
          </a:custGeom>
          <a:solidFill>
            <a:srgbClr val="00AE00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91166" name="Freeform 11"/>
          <xdr:cNvSpPr>
            <a:spLocks/>
          </xdr:cNvSpPr>
        </xdr:nvSpPr>
        <xdr:spPr bwMode="auto">
          <a:xfrm>
            <a:off x="192" y="48"/>
            <a:ext cx="268" cy="198"/>
          </a:xfrm>
          <a:custGeom>
            <a:avLst/>
            <a:gdLst>
              <a:gd name="T0" fmla="*/ 0 w 268"/>
              <a:gd name="T1" fmla="*/ 395 h 395"/>
              <a:gd name="T2" fmla="*/ 169 w 268"/>
              <a:gd name="T3" fmla="*/ 395 h 395"/>
              <a:gd name="T4" fmla="*/ 268 w 268"/>
              <a:gd name="T5" fmla="*/ 252 h 395"/>
              <a:gd name="T6" fmla="*/ 268 w 268"/>
              <a:gd name="T7" fmla="*/ 0 h 395"/>
              <a:gd name="T8" fmla="*/ 0 w 268"/>
              <a:gd name="T9" fmla="*/ 395 h 395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268"/>
              <a:gd name="T16" fmla="*/ 0 h 395"/>
              <a:gd name="T17" fmla="*/ 268 w 268"/>
              <a:gd name="T18" fmla="*/ 395 h 395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268" h="395">
                <a:moveTo>
                  <a:pt x="0" y="395"/>
                </a:moveTo>
                <a:lnTo>
                  <a:pt x="169" y="395"/>
                </a:lnTo>
                <a:lnTo>
                  <a:pt x="268" y="252"/>
                </a:lnTo>
                <a:lnTo>
                  <a:pt x="268" y="0"/>
                </a:lnTo>
                <a:lnTo>
                  <a:pt x="0" y="395"/>
                </a:lnTo>
                <a:close/>
              </a:path>
            </a:pathLst>
          </a:custGeom>
          <a:solidFill>
            <a:srgbClr val="00AE00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91167" name="Freeform 12"/>
          <xdr:cNvSpPr>
            <a:spLocks/>
          </xdr:cNvSpPr>
        </xdr:nvSpPr>
        <xdr:spPr bwMode="auto">
          <a:xfrm>
            <a:off x="475" y="48"/>
            <a:ext cx="261" cy="198"/>
          </a:xfrm>
          <a:custGeom>
            <a:avLst/>
            <a:gdLst>
              <a:gd name="T0" fmla="*/ 261 w 261"/>
              <a:gd name="T1" fmla="*/ 395 h 395"/>
              <a:gd name="T2" fmla="*/ 95 w 261"/>
              <a:gd name="T3" fmla="*/ 395 h 395"/>
              <a:gd name="T4" fmla="*/ 0 w 261"/>
              <a:gd name="T5" fmla="*/ 252 h 395"/>
              <a:gd name="T6" fmla="*/ 0 w 261"/>
              <a:gd name="T7" fmla="*/ 0 h 395"/>
              <a:gd name="T8" fmla="*/ 261 w 261"/>
              <a:gd name="T9" fmla="*/ 395 h 395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261"/>
              <a:gd name="T16" fmla="*/ 0 h 395"/>
              <a:gd name="T17" fmla="*/ 261 w 261"/>
              <a:gd name="T18" fmla="*/ 395 h 395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261" h="395">
                <a:moveTo>
                  <a:pt x="261" y="395"/>
                </a:moveTo>
                <a:lnTo>
                  <a:pt x="95" y="395"/>
                </a:lnTo>
                <a:lnTo>
                  <a:pt x="0" y="252"/>
                </a:lnTo>
                <a:lnTo>
                  <a:pt x="0" y="0"/>
                </a:lnTo>
                <a:lnTo>
                  <a:pt x="261" y="395"/>
                </a:lnTo>
                <a:close/>
              </a:path>
            </a:pathLst>
          </a:custGeom>
          <a:solidFill>
            <a:srgbClr val="00AE00"/>
          </a:solidFill>
          <a:ln w="9525">
            <a:noFill/>
            <a:round/>
            <a:headEnd/>
            <a:tailEnd/>
          </a:ln>
        </xdr:spPr>
      </xdr:sp>
    </xdr:grpSp>
    <xdr:clientData/>
  </xdr:twoCellAnchor>
  <xdr:twoCellAnchor editAs="oneCell">
    <xdr:from>
      <xdr:col>1</xdr:col>
      <xdr:colOff>3632200</xdr:colOff>
      <xdr:row>0</xdr:row>
      <xdr:rowOff>63500</xdr:rowOff>
    </xdr:from>
    <xdr:to>
      <xdr:col>4</xdr:col>
      <xdr:colOff>241300</xdr:colOff>
      <xdr:row>1</xdr:row>
      <xdr:rowOff>46518</xdr:rowOff>
    </xdr:to>
    <xdr:pic>
      <xdr:nvPicPr>
        <xdr:cNvPr id="3" name="圖片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73600" y="63500"/>
          <a:ext cx="5257800" cy="49101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267604</xdr:colOff>
      <xdr:row>21</xdr:row>
      <xdr:rowOff>149679</xdr:rowOff>
    </xdr:from>
    <xdr:ext cx="6933295" cy="890500"/>
    <xdr:sp macro="" textlink="">
      <xdr:nvSpPr>
        <xdr:cNvPr id="2" name="文字方塊 1"/>
        <xdr:cNvSpPr txBox="1"/>
      </xdr:nvSpPr>
      <xdr:spPr>
        <a:xfrm>
          <a:off x="10630804" y="4581979"/>
          <a:ext cx="6933295" cy="890500"/>
        </a:xfrm>
        <a:prstGeom prst="rect">
          <a:avLst/>
        </a:prstGeom>
        <a:solidFill>
          <a:schemeClr val="bg1"/>
        </a:solidFill>
        <a:ln w="38100" cmpd="thickThin">
          <a:solidFill>
            <a:srgbClr val="FFC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zh-TW" altLang="en-US" sz="1800">
              <a:solidFill>
                <a:srgbClr val="FF0000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Arial" panose="020B0604020202020204" pitchFamily="34" charset="0"/>
            </a:rPr>
            <a:t>列 </a:t>
          </a:r>
          <a:r>
            <a:rPr lang="en-US" altLang="zh-TW" sz="1800">
              <a:solidFill>
                <a:srgbClr val="FF0000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Arial" panose="020B0604020202020204" pitchFamily="34" charset="0"/>
            </a:rPr>
            <a:t>1~22  : </a:t>
          </a:r>
          <a:r>
            <a:rPr lang="zh-TW" altLang="en-US" sz="1800">
              <a:solidFill>
                <a:srgbClr val="FF0000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Arial" panose="020B0604020202020204" pitchFamily="34" charset="0"/>
            </a:rPr>
            <a:t>請勿修改</a:t>
          </a:r>
          <a:endParaRPr lang="en-US" altLang="zh-TW" sz="1800">
            <a:solidFill>
              <a:srgbClr val="FF0000"/>
            </a:solidFill>
            <a:latin typeface="微軟正黑體" panose="020B0604030504040204" pitchFamily="34" charset="-120"/>
            <a:ea typeface="微軟正黑體" panose="020B0604030504040204" pitchFamily="34" charset="-120"/>
            <a:cs typeface="Arial" panose="020B0604020202020204" pitchFamily="34" charset="0"/>
          </a:endParaRPr>
        </a:p>
        <a:p>
          <a:r>
            <a:rPr lang="zh-TW" altLang="en-US" sz="1800">
              <a:solidFill>
                <a:srgbClr val="FF0000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Arial" panose="020B0604020202020204" pitchFamily="34" charset="0"/>
            </a:rPr>
            <a:t>單一產品有要備註</a:t>
          </a:r>
          <a:r>
            <a:rPr lang="en-US" altLang="zh-TW" sz="1800">
              <a:solidFill>
                <a:srgbClr val="FF0000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Arial" panose="020B0604020202020204" pitchFamily="34" charset="0"/>
            </a:rPr>
            <a:t>,</a:t>
          </a:r>
          <a:r>
            <a:rPr lang="zh-TW" altLang="en-US" sz="1800">
              <a:solidFill>
                <a:srgbClr val="FF0000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Arial" panose="020B0604020202020204" pitchFamily="34" charset="0"/>
            </a:rPr>
            <a:t> 則在</a:t>
          </a:r>
          <a:r>
            <a:rPr lang="en-US" altLang="zh-TW" sz="1800">
              <a:solidFill>
                <a:srgbClr val="FF0000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Arial" panose="020B0604020202020204" pitchFamily="34" charset="0"/>
            </a:rPr>
            <a:t>Special</a:t>
          </a:r>
          <a:r>
            <a:rPr lang="en-US" altLang="zh-TW" sz="1800" baseline="0">
              <a:solidFill>
                <a:srgbClr val="FF0000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Arial" panose="020B0604020202020204" pitchFamily="34" charset="0"/>
            </a:rPr>
            <a:t> Note </a:t>
          </a:r>
          <a:r>
            <a:rPr lang="zh-TW" altLang="en-US" sz="1800" baseline="0">
              <a:solidFill>
                <a:srgbClr val="FF0000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Arial" panose="020B0604020202020204" pitchFamily="34" charset="0"/>
            </a:rPr>
            <a:t>下</a:t>
          </a:r>
          <a:r>
            <a:rPr lang="en-US" altLang="zh-TW" sz="1800" baseline="0">
              <a:solidFill>
                <a:srgbClr val="FF0000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Arial" panose="020B0604020202020204" pitchFamily="34" charset="0"/>
            </a:rPr>
            <a:t>command</a:t>
          </a:r>
          <a:r>
            <a:rPr lang="zh-TW" altLang="en-US" sz="1800">
              <a:solidFill>
                <a:srgbClr val="FF0000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Arial" panose="020B0604020202020204" pitchFamily="34" charset="0"/>
            </a:rPr>
            <a:t> </a:t>
          </a:r>
        </a:p>
      </xdr:txBody>
    </xdr:sp>
    <xdr:clientData fPrint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63500</xdr:colOff>
      <xdr:row>0</xdr:row>
      <xdr:rowOff>127000</xdr:rowOff>
    </xdr:from>
    <xdr:to>
      <xdr:col>19</xdr:col>
      <xdr:colOff>431800</xdr:colOff>
      <xdr:row>1</xdr:row>
      <xdr:rowOff>237018</xdr:rowOff>
    </xdr:to>
    <xdr:pic>
      <xdr:nvPicPr>
        <xdr:cNvPr id="3" name="圖片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200" y="127000"/>
          <a:ext cx="5257800" cy="491018"/>
        </a:xfrm>
        <a:prstGeom prst="rect">
          <a:avLst/>
        </a:prstGeom>
      </xdr:spPr>
    </xdr:pic>
    <xdr:clientData/>
  </xdr:twoCellAnchor>
  <xdr:twoCellAnchor editAs="oneCell">
    <xdr:from>
      <xdr:col>10</xdr:col>
      <xdr:colOff>63500</xdr:colOff>
      <xdr:row>0</xdr:row>
      <xdr:rowOff>127000</xdr:rowOff>
    </xdr:from>
    <xdr:to>
      <xdr:col>19</xdr:col>
      <xdr:colOff>431800</xdr:colOff>
      <xdr:row>1</xdr:row>
      <xdr:rowOff>237018</xdr:rowOff>
    </xdr:to>
    <xdr:pic>
      <xdr:nvPicPr>
        <xdr:cNvPr id="7" name="圖片 6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200" y="127000"/>
          <a:ext cx="5235575" cy="491018"/>
        </a:xfrm>
        <a:prstGeom prst="rect">
          <a:avLst/>
        </a:prstGeom>
      </xdr:spPr>
    </xdr:pic>
    <xdr:clientData/>
  </xdr:twoCellAnchor>
  <xdr:twoCellAnchor>
    <xdr:from>
      <xdr:col>13</xdr:col>
      <xdr:colOff>228600</xdr:colOff>
      <xdr:row>19</xdr:row>
      <xdr:rowOff>63500</xdr:rowOff>
    </xdr:from>
    <xdr:to>
      <xdr:col>15</xdr:col>
      <xdr:colOff>139591</xdr:colOff>
      <xdr:row>23</xdr:row>
      <xdr:rowOff>41191</xdr:rowOff>
    </xdr:to>
    <xdr:grpSp>
      <xdr:nvGrpSpPr>
        <xdr:cNvPr id="10" name="群組 9"/>
        <xdr:cNvGrpSpPr/>
      </xdr:nvGrpSpPr>
      <xdr:grpSpPr>
        <a:xfrm>
          <a:off x="1943100" y="3111500"/>
          <a:ext cx="1536591" cy="892091"/>
          <a:chOff x="1943100" y="3073400"/>
          <a:chExt cx="1536591" cy="892091"/>
        </a:xfrm>
      </xdr:grpSpPr>
      <xdr:pic>
        <xdr:nvPicPr>
          <xdr:cNvPr id="2" name="圖片 1"/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943100" y="3289300"/>
            <a:ext cx="476191" cy="676191"/>
          </a:xfrm>
          <a:prstGeom prst="rect">
            <a:avLst/>
          </a:prstGeom>
        </xdr:spPr>
      </xdr:pic>
      <xdr:pic>
        <xdr:nvPicPr>
          <xdr:cNvPr id="5" name="圖片 4"/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2603500" y="3467100"/>
            <a:ext cx="876191" cy="447619"/>
          </a:xfrm>
          <a:prstGeom prst="rect">
            <a:avLst/>
          </a:prstGeom>
        </xdr:spPr>
      </xdr:pic>
      <xdr:sp macro="" textlink="">
        <xdr:nvSpPr>
          <xdr:cNvPr id="6" name="向下箭號 5"/>
          <xdr:cNvSpPr/>
        </xdr:nvSpPr>
        <xdr:spPr bwMode="auto">
          <a:xfrm>
            <a:off x="2070100" y="3073400"/>
            <a:ext cx="203200" cy="381000"/>
          </a:xfrm>
          <a:prstGeom prst="downArrow">
            <a:avLst/>
          </a:prstGeom>
          <a:solidFill>
            <a:schemeClr val="tx2">
              <a:lumMod val="60000"/>
              <a:lumOff val="40000"/>
            </a:schemeClr>
          </a:solidFill>
          <a:ln w="9525" cap="flat" cmpd="sng" algn="ctr">
            <a:solidFill>
              <a:schemeClr val="tx2">
                <a:lumMod val="60000"/>
                <a:lumOff val="40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pPr algn="l"/>
            <a:endParaRPr lang="zh-TW" altLang="en-US" sz="1100"/>
          </a:p>
        </xdr:txBody>
      </xdr:sp>
      <xdr:sp macro="" textlink="">
        <xdr:nvSpPr>
          <xdr:cNvPr id="8" name="向下箭號 7"/>
          <xdr:cNvSpPr/>
        </xdr:nvSpPr>
        <xdr:spPr bwMode="auto">
          <a:xfrm>
            <a:off x="2908300" y="3073400"/>
            <a:ext cx="203200" cy="381000"/>
          </a:xfrm>
          <a:prstGeom prst="downArrow">
            <a:avLst/>
          </a:prstGeom>
          <a:solidFill>
            <a:schemeClr val="tx2">
              <a:lumMod val="60000"/>
              <a:lumOff val="40000"/>
            </a:schemeClr>
          </a:solidFill>
          <a:ln w="9525" cap="flat" cmpd="sng" algn="ctr">
            <a:solidFill>
              <a:schemeClr val="tx2">
                <a:lumMod val="60000"/>
                <a:lumOff val="40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pPr algn="l"/>
            <a:endParaRPr lang="zh-TW" altLang="en-US" sz="1100"/>
          </a:p>
        </xdr:txBody>
      </xdr:sp>
      <xdr:pic>
        <xdr:nvPicPr>
          <xdr:cNvPr id="9" name="圖片 8"/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2603500" y="3467100"/>
            <a:ext cx="876191" cy="447619"/>
          </a:xfrm>
          <a:prstGeom prst="rect">
            <a:avLst/>
          </a:prstGeom>
        </xdr:spPr>
      </xdr:pic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0</xdr:row>
      <xdr:rowOff>127000</xdr:rowOff>
    </xdr:from>
    <xdr:to>
      <xdr:col>8</xdr:col>
      <xdr:colOff>965200</xdr:colOff>
      <xdr:row>0</xdr:row>
      <xdr:rowOff>618018</xdr:rowOff>
    </xdr:to>
    <xdr:pic>
      <xdr:nvPicPr>
        <xdr:cNvPr id="16" name="圖片 15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71700" y="127000"/>
          <a:ext cx="5257800" cy="491018"/>
        </a:xfrm>
        <a:prstGeom prst="rect">
          <a:avLst/>
        </a:prstGeom>
      </xdr:spPr>
    </xdr:pic>
    <xdr:clientData/>
  </xdr:twoCellAnchor>
  <xdr:twoCellAnchor>
    <xdr:from>
      <xdr:col>7</xdr:col>
      <xdr:colOff>555625</xdr:colOff>
      <xdr:row>13</xdr:row>
      <xdr:rowOff>152400</xdr:rowOff>
    </xdr:from>
    <xdr:to>
      <xdr:col>7</xdr:col>
      <xdr:colOff>555625</xdr:colOff>
      <xdr:row>13</xdr:row>
      <xdr:rowOff>152400</xdr:rowOff>
    </xdr:to>
    <xdr:cxnSp macro="">
      <xdr:nvCxnSpPr>
        <xdr:cNvPr id="6" name="直線接點 5"/>
        <xdr:cNvCxnSpPr/>
      </xdr:nvCxnSpPr>
      <xdr:spPr bwMode="auto">
        <a:xfrm>
          <a:off x="6985000" y="3810000"/>
          <a:ext cx="0" cy="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7</xdr:col>
      <xdr:colOff>555625</xdr:colOff>
      <xdr:row>13</xdr:row>
      <xdr:rowOff>152400</xdr:rowOff>
    </xdr:from>
    <xdr:to>
      <xdr:col>7</xdr:col>
      <xdr:colOff>555625</xdr:colOff>
      <xdr:row>13</xdr:row>
      <xdr:rowOff>152400</xdr:rowOff>
    </xdr:to>
    <xdr:cxnSp macro="">
      <xdr:nvCxnSpPr>
        <xdr:cNvPr id="7" name="直線接點 6"/>
        <xdr:cNvCxnSpPr/>
      </xdr:nvCxnSpPr>
      <xdr:spPr bwMode="auto">
        <a:xfrm>
          <a:off x="6985000" y="3810000"/>
          <a:ext cx="0" cy="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817563</xdr:colOff>
      <xdr:row>6</xdr:row>
      <xdr:rowOff>98425</xdr:rowOff>
    </xdr:from>
    <xdr:to>
      <xdr:col>9</xdr:col>
      <xdr:colOff>293688</xdr:colOff>
      <xdr:row>20</xdr:row>
      <xdr:rowOff>206375</xdr:rowOff>
    </xdr:to>
    <xdr:sp macro="" textlink="">
      <xdr:nvSpPr>
        <xdr:cNvPr id="2" name="矩形 1"/>
        <xdr:cNvSpPr/>
      </xdr:nvSpPr>
      <xdr:spPr bwMode="auto">
        <a:xfrm>
          <a:off x="5246688" y="2155825"/>
          <a:ext cx="3476625" cy="3308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38100" cap="flat" cmpd="sng" algn="ctr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zh-TW" altLang="en-US" sz="1100"/>
        </a:p>
      </xdr:txBody>
    </xdr:sp>
    <xdr:clientData/>
  </xdr:twoCellAnchor>
  <xdr:twoCellAnchor>
    <xdr:from>
      <xdr:col>5</xdr:col>
      <xdr:colOff>15875</xdr:colOff>
      <xdr:row>3</xdr:row>
      <xdr:rowOff>114300</xdr:rowOff>
    </xdr:from>
    <xdr:to>
      <xdr:col>7</xdr:col>
      <xdr:colOff>555625</xdr:colOff>
      <xdr:row>13</xdr:row>
      <xdr:rowOff>152400</xdr:rowOff>
    </xdr:to>
    <xdr:cxnSp macro="">
      <xdr:nvCxnSpPr>
        <xdr:cNvPr id="3" name="直線接點 2"/>
        <xdr:cNvCxnSpPr/>
      </xdr:nvCxnSpPr>
      <xdr:spPr bwMode="auto">
        <a:xfrm>
          <a:off x="4445000" y="1485900"/>
          <a:ext cx="2540000" cy="2324100"/>
        </a:xfrm>
        <a:prstGeom prst="line">
          <a:avLst/>
        </a:prstGeom>
        <a:solidFill>
          <a:srgbClr val="FFFFFF"/>
        </a:solidFill>
        <a:ln w="3175" cap="rnd" cmpd="sng" algn="ctr">
          <a:solidFill>
            <a:srgbClr xmlns:mc="http://schemas.openxmlformats.org/markup-compatibility/2006" xmlns:a14="http://schemas.microsoft.com/office/drawing/2010/main" val="00FF00" mc:Ignorable="a14" a14:legacySpreadsheetColorIndex="3"/>
          </a:solidFill>
          <a:prstDash val="dot"/>
          <a:round/>
          <a:headEnd type="oval" w="med" len="med"/>
          <a:tailEnd type="oval" w="med" len="med"/>
        </a:ln>
        <a:effectLst/>
      </xdr:spPr>
    </xdr:cxnSp>
    <xdr:clientData/>
  </xdr:twoCellAnchor>
  <xdr:twoCellAnchor>
    <xdr:from>
      <xdr:col>5</xdr:col>
      <xdr:colOff>827088</xdr:colOff>
      <xdr:row>6</xdr:row>
      <xdr:rowOff>107950</xdr:rowOff>
    </xdr:from>
    <xdr:to>
      <xdr:col>9</xdr:col>
      <xdr:colOff>284163</xdr:colOff>
      <xdr:row>20</xdr:row>
      <xdr:rowOff>196850</xdr:rowOff>
    </xdr:to>
    <xdr:sp macro="" textlink="">
      <xdr:nvSpPr>
        <xdr:cNvPr id="4" name="矩形 3"/>
        <xdr:cNvSpPr/>
      </xdr:nvSpPr>
      <xdr:spPr bwMode="auto">
        <a:xfrm>
          <a:off x="5256213" y="2165350"/>
          <a:ext cx="3457575" cy="32893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38100" cap="flat" cmpd="sng" algn="ctr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zh-TW" altLang="en-US" sz="1100"/>
        </a:p>
      </xdr:txBody>
    </xdr:sp>
    <xdr:clientData/>
  </xdr:twoCellAnchor>
  <xdr:twoCellAnchor>
    <xdr:from>
      <xdr:col>5</xdr:col>
      <xdr:colOff>15875</xdr:colOff>
      <xdr:row>4</xdr:row>
      <xdr:rowOff>114300</xdr:rowOff>
    </xdr:from>
    <xdr:to>
      <xdr:col>7</xdr:col>
      <xdr:colOff>555625</xdr:colOff>
      <xdr:row>13</xdr:row>
      <xdr:rowOff>152400</xdr:rowOff>
    </xdr:to>
    <xdr:cxnSp macro="">
      <xdr:nvCxnSpPr>
        <xdr:cNvPr id="5" name="直線接點 4"/>
        <xdr:cNvCxnSpPr/>
      </xdr:nvCxnSpPr>
      <xdr:spPr bwMode="auto">
        <a:xfrm>
          <a:off x="4445000" y="1714500"/>
          <a:ext cx="2540000" cy="2095500"/>
        </a:xfrm>
        <a:prstGeom prst="line">
          <a:avLst/>
        </a:prstGeom>
        <a:solidFill>
          <a:srgbClr val="FFFFFF"/>
        </a:solidFill>
        <a:ln w="3175" cap="rnd" cmpd="sng" algn="ctr">
          <a:solidFill>
            <a:srgbClr xmlns:mc="http://schemas.openxmlformats.org/markup-compatibility/2006" xmlns:a14="http://schemas.microsoft.com/office/drawing/2010/main" val="00FF00" mc:Ignorable="a14" a14:legacySpreadsheetColorIndex="3"/>
          </a:solidFill>
          <a:prstDash val="dot"/>
          <a:round/>
          <a:headEnd type="oval" w="med" len="med"/>
          <a:tailEnd type="oval" w="med" len="med"/>
        </a:ln>
        <a:effectLst/>
      </xdr:spPr>
    </xdr:cxnSp>
    <xdr:clientData/>
  </xdr:twoCellAnchor>
  <xdr:twoCellAnchor>
    <xdr:from>
      <xdr:col>5</xdr:col>
      <xdr:colOff>827088</xdr:colOff>
      <xdr:row>7</xdr:row>
      <xdr:rowOff>111125</xdr:rowOff>
    </xdr:from>
    <xdr:to>
      <xdr:col>5</xdr:col>
      <xdr:colOff>962025</xdr:colOff>
      <xdr:row>8</xdr:row>
      <xdr:rowOff>104775</xdr:rowOff>
    </xdr:to>
    <xdr:sp macro="" textlink="">
      <xdr:nvSpPr>
        <xdr:cNvPr id="8" name="矩形 7"/>
        <xdr:cNvSpPr/>
      </xdr:nvSpPr>
      <xdr:spPr bwMode="auto">
        <a:xfrm>
          <a:off x="5256213" y="2397125"/>
          <a:ext cx="134937" cy="2222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38100" cap="flat" cmpd="sng" algn="ctr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zh-TW" altLang="en-US" sz="1100"/>
        </a:p>
      </xdr:txBody>
    </xdr:sp>
    <xdr:clientData/>
  </xdr:twoCellAnchor>
  <xdr:twoCellAnchor>
    <xdr:from>
      <xdr:col>5</xdr:col>
      <xdr:colOff>15875</xdr:colOff>
      <xdr:row>5</xdr:row>
      <xdr:rowOff>114300</xdr:rowOff>
    </xdr:from>
    <xdr:to>
      <xdr:col>5</xdr:col>
      <xdr:colOff>894556</xdr:colOff>
      <xdr:row>7</xdr:row>
      <xdr:rowOff>222250</xdr:rowOff>
    </xdr:to>
    <xdr:cxnSp macro="">
      <xdr:nvCxnSpPr>
        <xdr:cNvPr id="9" name="直線接點 8"/>
        <xdr:cNvCxnSpPr/>
      </xdr:nvCxnSpPr>
      <xdr:spPr bwMode="auto">
        <a:xfrm>
          <a:off x="4445000" y="1943100"/>
          <a:ext cx="878681" cy="565150"/>
        </a:xfrm>
        <a:prstGeom prst="line">
          <a:avLst/>
        </a:prstGeom>
        <a:solidFill>
          <a:srgbClr val="FFFFFF"/>
        </a:solidFill>
        <a:ln w="3175" cap="rnd" cmpd="sng" algn="ctr">
          <a:solidFill>
            <a:srgbClr xmlns:mc="http://schemas.openxmlformats.org/markup-compatibility/2006" xmlns:a14="http://schemas.microsoft.com/office/drawing/2010/main" val="00FF00" mc:Ignorable="a14" a14:legacySpreadsheetColorIndex="3"/>
          </a:solidFill>
          <a:prstDash val="dot"/>
          <a:round/>
          <a:headEnd type="oval" w="med" len="med"/>
          <a:tailEnd type="oval" w="med" len="med"/>
        </a:ln>
        <a:effectLst/>
      </xdr:spPr>
    </xdr:cxnSp>
    <xdr:clientData/>
  </xdr:twoCellAnchor>
  <xdr:twoCellAnchor>
    <xdr:from>
      <xdr:col>6</xdr:col>
      <xdr:colOff>693738</xdr:colOff>
      <xdr:row>6</xdr:row>
      <xdr:rowOff>107950</xdr:rowOff>
    </xdr:from>
    <xdr:to>
      <xdr:col>6</xdr:col>
      <xdr:colOff>828675</xdr:colOff>
      <xdr:row>7</xdr:row>
      <xdr:rowOff>101600</xdr:rowOff>
    </xdr:to>
    <xdr:sp macro="" textlink="">
      <xdr:nvSpPr>
        <xdr:cNvPr id="10" name="矩形 9"/>
        <xdr:cNvSpPr/>
      </xdr:nvSpPr>
      <xdr:spPr bwMode="auto">
        <a:xfrm>
          <a:off x="6122988" y="2165350"/>
          <a:ext cx="134937" cy="2222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38100" cap="flat" cmpd="sng" algn="ctr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zh-TW" altLang="en-US" sz="1100"/>
        </a:p>
      </xdr:txBody>
    </xdr:sp>
    <xdr:clientData/>
  </xdr:twoCellAnchor>
  <xdr:twoCellAnchor>
    <xdr:from>
      <xdr:col>5</xdr:col>
      <xdr:colOff>15875</xdr:colOff>
      <xdr:row>6</xdr:row>
      <xdr:rowOff>114300</xdr:rowOff>
    </xdr:from>
    <xdr:to>
      <xdr:col>6</xdr:col>
      <xdr:colOff>761206</xdr:colOff>
      <xdr:row>6</xdr:row>
      <xdr:rowOff>219075</xdr:rowOff>
    </xdr:to>
    <xdr:cxnSp macro="">
      <xdr:nvCxnSpPr>
        <xdr:cNvPr id="11" name="直線接點 10"/>
        <xdr:cNvCxnSpPr/>
      </xdr:nvCxnSpPr>
      <xdr:spPr bwMode="auto">
        <a:xfrm>
          <a:off x="4445000" y="2171700"/>
          <a:ext cx="1745456" cy="104775"/>
        </a:xfrm>
        <a:prstGeom prst="line">
          <a:avLst/>
        </a:prstGeom>
        <a:solidFill>
          <a:srgbClr val="FFFFFF"/>
        </a:solidFill>
        <a:ln w="3175" cap="rnd" cmpd="sng" algn="ctr">
          <a:solidFill>
            <a:srgbClr xmlns:mc="http://schemas.openxmlformats.org/markup-compatibility/2006" xmlns:a14="http://schemas.microsoft.com/office/drawing/2010/main" val="00FF00" mc:Ignorable="a14" a14:legacySpreadsheetColorIndex="3"/>
          </a:solidFill>
          <a:prstDash val="dot"/>
          <a:round/>
          <a:headEnd type="oval" w="med" len="med"/>
          <a:tailEnd type="oval" w="med" len="med"/>
        </a:ln>
        <a:effectLst/>
      </xdr:spPr>
    </xdr:cxnSp>
    <xdr:clientData/>
  </xdr:twoCellAnchor>
  <xdr:twoCellAnchor>
    <xdr:from>
      <xdr:col>7</xdr:col>
      <xdr:colOff>560388</xdr:colOff>
      <xdr:row>6</xdr:row>
      <xdr:rowOff>107950</xdr:rowOff>
    </xdr:from>
    <xdr:to>
      <xdr:col>7</xdr:col>
      <xdr:colOff>695325</xdr:colOff>
      <xdr:row>7</xdr:row>
      <xdr:rowOff>101600</xdr:rowOff>
    </xdr:to>
    <xdr:sp macro="" textlink="">
      <xdr:nvSpPr>
        <xdr:cNvPr id="12" name="矩形 11"/>
        <xdr:cNvSpPr/>
      </xdr:nvSpPr>
      <xdr:spPr bwMode="auto">
        <a:xfrm>
          <a:off x="6989763" y="2165350"/>
          <a:ext cx="134937" cy="2222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38100" cap="flat" cmpd="sng" algn="ctr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zh-TW" altLang="en-US" sz="1100"/>
        </a:p>
      </xdr:txBody>
    </xdr:sp>
    <xdr:clientData/>
  </xdr:twoCellAnchor>
  <xdr:twoCellAnchor>
    <xdr:from>
      <xdr:col>5</xdr:col>
      <xdr:colOff>15875</xdr:colOff>
      <xdr:row>6</xdr:row>
      <xdr:rowOff>219075</xdr:rowOff>
    </xdr:from>
    <xdr:to>
      <xdr:col>7</xdr:col>
      <xdr:colOff>627856</xdr:colOff>
      <xdr:row>7</xdr:row>
      <xdr:rowOff>114300</xdr:rowOff>
    </xdr:to>
    <xdr:cxnSp macro="">
      <xdr:nvCxnSpPr>
        <xdr:cNvPr id="13" name="直線接點 12"/>
        <xdr:cNvCxnSpPr/>
      </xdr:nvCxnSpPr>
      <xdr:spPr bwMode="auto">
        <a:xfrm flipV="1">
          <a:off x="4445000" y="2276475"/>
          <a:ext cx="2612231" cy="123825"/>
        </a:xfrm>
        <a:prstGeom prst="line">
          <a:avLst/>
        </a:prstGeom>
        <a:solidFill>
          <a:srgbClr val="FFFFFF"/>
        </a:solidFill>
        <a:ln w="3175" cap="rnd" cmpd="sng" algn="ctr">
          <a:solidFill>
            <a:srgbClr xmlns:mc="http://schemas.openxmlformats.org/markup-compatibility/2006" xmlns:a14="http://schemas.microsoft.com/office/drawing/2010/main" val="00FF00" mc:Ignorable="a14" a14:legacySpreadsheetColorIndex="3"/>
          </a:solidFill>
          <a:prstDash val="dot"/>
          <a:round/>
          <a:headEnd type="oval" w="med" len="med"/>
          <a:tailEnd type="oval" w="med" len="med"/>
        </a:ln>
        <a:effectLst/>
      </xdr:spPr>
    </xdr:cxnSp>
    <xdr:clientData/>
  </xdr:twoCellAnchor>
  <xdr:twoCellAnchor>
    <xdr:from>
      <xdr:col>5</xdr:col>
      <xdr:colOff>827088</xdr:colOff>
      <xdr:row>8</xdr:row>
      <xdr:rowOff>114300</xdr:rowOff>
    </xdr:from>
    <xdr:to>
      <xdr:col>5</xdr:col>
      <xdr:colOff>962025</xdr:colOff>
      <xdr:row>9</xdr:row>
      <xdr:rowOff>107950</xdr:rowOff>
    </xdr:to>
    <xdr:sp macro="" textlink="">
      <xdr:nvSpPr>
        <xdr:cNvPr id="14" name="矩形 13"/>
        <xdr:cNvSpPr/>
      </xdr:nvSpPr>
      <xdr:spPr bwMode="auto">
        <a:xfrm>
          <a:off x="5256213" y="2628900"/>
          <a:ext cx="134937" cy="2222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38100" cap="flat" cmpd="sng" algn="ctr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zh-TW" altLang="en-US" sz="1100"/>
        </a:p>
      </xdr:txBody>
    </xdr:sp>
    <xdr:clientData/>
  </xdr:twoCellAnchor>
  <xdr:twoCellAnchor>
    <xdr:from>
      <xdr:col>5</xdr:col>
      <xdr:colOff>15875</xdr:colOff>
      <xdr:row>8</xdr:row>
      <xdr:rowOff>114300</xdr:rowOff>
    </xdr:from>
    <xdr:to>
      <xdr:col>5</xdr:col>
      <xdr:colOff>894556</xdr:colOff>
      <xdr:row>8</xdr:row>
      <xdr:rowOff>225425</xdr:rowOff>
    </xdr:to>
    <xdr:cxnSp macro="">
      <xdr:nvCxnSpPr>
        <xdr:cNvPr id="15" name="直線接點 14"/>
        <xdr:cNvCxnSpPr/>
      </xdr:nvCxnSpPr>
      <xdr:spPr bwMode="auto">
        <a:xfrm>
          <a:off x="4445000" y="2628900"/>
          <a:ext cx="878681" cy="111125"/>
        </a:xfrm>
        <a:prstGeom prst="line">
          <a:avLst/>
        </a:prstGeom>
        <a:solidFill>
          <a:srgbClr val="FFFFFF"/>
        </a:solidFill>
        <a:ln w="3175" cap="rnd" cmpd="sng" algn="ctr">
          <a:solidFill>
            <a:srgbClr xmlns:mc="http://schemas.openxmlformats.org/markup-compatibility/2006" xmlns:a14="http://schemas.microsoft.com/office/drawing/2010/main" val="00FF00" mc:Ignorable="a14" a14:legacySpreadsheetColorIndex="3"/>
          </a:solidFill>
          <a:prstDash val="dot"/>
          <a:round/>
          <a:headEnd type="oval" w="med" len="med"/>
          <a:tailEnd type="oval" w="med" len="med"/>
        </a:ln>
        <a:effectLst/>
      </xdr:spPr>
    </xdr:cxnSp>
    <xdr:clientData/>
  </xdr:twoCellAnchor>
  <xdr:twoCellAnchor>
    <xdr:from>
      <xdr:col>6</xdr:col>
      <xdr:colOff>982663</xdr:colOff>
      <xdr:row>8</xdr:row>
      <xdr:rowOff>114300</xdr:rowOff>
    </xdr:from>
    <xdr:to>
      <xdr:col>7</xdr:col>
      <xdr:colOff>117475</xdr:colOff>
      <xdr:row>9</xdr:row>
      <xdr:rowOff>107950</xdr:rowOff>
    </xdr:to>
    <xdr:sp macro="" textlink="">
      <xdr:nvSpPr>
        <xdr:cNvPr id="17" name="矩形 16"/>
        <xdr:cNvSpPr/>
      </xdr:nvSpPr>
      <xdr:spPr bwMode="auto">
        <a:xfrm>
          <a:off x="6411913" y="2628900"/>
          <a:ext cx="134937" cy="2222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38100" cap="flat" cmpd="sng" algn="ctr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zh-TW" altLang="en-US" sz="1100"/>
        </a:p>
      </xdr:txBody>
    </xdr:sp>
    <xdr:clientData/>
  </xdr:twoCellAnchor>
  <xdr:twoCellAnchor>
    <xdr:from>
      <xdr:col>5</xdr:col>
      <xdr:colOff>15875</xdr:colOff>
      <xdr:row>8</xdr:row>
      <xdr:rowOff>225425</xdr:rowOff>
    </xdr:from>
    <xdr:to>
      <xdr:col>7</xdr:col>
      <xdr:colOff>50006</xdr:colOff>
      <xdr:row>9</xdr:row>
      <xdr:rowOff>114300</xdr:rowOff>
    </xdr:to>
    <xdr:cxnSp macro="">
      <xdr:nvCxnSpPr>
        <xdr:cNvPr id="18" name="直線接點 17"/>
        <xdr:cNvCxnSpPr/>
      </xdr:nvCxnSpPr>
      <xdr:spPr bwMode="auto">
        <a:xfrm flipV="1">
          <a:off x="4445000" y="2740025"/>
          <a:ext cx="2034381" cy="117475"/>
        </a:xfrm>
        <a:prstGeom prst="line">
          <a:avLst/>
        </a:prstGeom>
        <a:solidFill>
          <a:srgbClr val="FFFFFF"/>
        </a:solidFill>
        <a:ln w="3175" cap="rnd" cmpd="sng" algn="ctr">
          <a:solidFill>
            <a:srgbClr xmlns:mc="http://schemas.openxmlformats.org/markup-compatibility/2006" xmlns:a14="http://schemas.microsoft.com/office/drawing/2010/main" val="00FF00" mc:Ignorable="a14" a14:legacySpreadsheetColorIndex="3"/>
          </a:solidFill>
          <a:prstDash val="dot"/>
          <a:round/>
          <a:headEnd type="oval" w="med" len="med"/>
          <a:tailEnd type="oval" w="med" len="med"/>
        </a:ln>
        <a:effectLst/>
      </xdr:spPr>
    </xdr:cxnSp>
    <xdr:clientData/>
  </xdr:twoCellAnchor>
  <xdr:twoCellAnchor>
    <xdr:from>
      <xdr:col>8</xdr:col>
      <xdr:colOff>138113</xdr:colOff>
      <xdr:row>8</xdr:row>
      <xdr:rowOff>114300</xdr:rowOff>
    </xdr:from>
    <xdr:to>
      <xdr:col>8</xdr:col>
      <xdr:colOff>273050</xdr:colOff>
      <xdr:row>9</xdr:row>
      <xdr:rowOff>107950</xdr:rowOff>
    </xdr:to>
    <xdr:sp macro="" textlink="">
      <xdr:nvSpPr>
        <xdr:cNvPr id="19" name="矩形 18"/>
        <xdr:cNvSpPr/>
      </xdr:nvSpPr>
      <xdr:spPr bwMode="auto">
        <a:xfrm>
          <a:off x="7567613" y="2628900"/>
          <a:ext cx="134937" cy="2222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38100" cap="flat" cmpd="sng" algn="ctr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zh-TW" altLang="en-US" sz="1100"/>
        </a:p>
      </xdr:txBody>
    </xdr:sp>
    <xdr:clientData/>
  </xdr:twoCellAnchor>
  <xdr:twoCellAnchor>
    <xdr:from>
      <xdr:col>5</xdr:col>
      <xdr:colOff>15875</xdr:colOff>
      <xdr:row>8</xdr:row>
      <xdr:rowOff>225425</xdr:rowOff>
    </xdr:from>
    <xdr:to>
      <xdr:col>8</xdr:col>
      <xdr:colOff>205581</xdr:colOff>
      <xdr:row>10</xdr:row>
      <xdr:rowOff>114300</xdr:rowOff>
    </xdr:to>
    <xdr:cxnSp macro="">
      <xdr:nvCxnSpPr>
        <xdr:cNvPr id="20" name="直線接點 19"/>
        <xdr:cNvCxnSpPr/>
      </xdr:nvCxnSpPr>
      <xdr:spPr bwMode="auto">
        <a:xfrm flipV="1">
          <a:off x="4445000" y="2740025"/>
          <a:ext cx="3190081" cy="346075"/>
        </a:xfrm>
        <a:prstGeom prst="line">
          <a:avLst/>
        </a:prstGeom>
        <a:solidFill>
          <a:srgbClr val="FFFFFF"/>
        </a:solidFill>
        <a:ln w="3175" cap="rnd" cmpd="sng" algn="ctr">
          <a:solidFill>
            <a:srgbClr xmlns:mc="http://schemas.openxmlformats.org/markup-compatibility/2006" xmlns:a14="http://schemas.microsoft.com/office/drawing/2010/main" val="00FF00" mc:Ignorable="a14" a14:legacySpreadsheetColorIndex="3"/>
          </a:solidFill>
          <a:prstDash val="dot"/>
          <a:round/>
          <a:headEnd type="oval" w="med" len="med"/>
          <a:tailEnd type="oval" w="med" len="med"/>
        </a:ln>
        <a:effectLst/>
      </xdr:spPr>
    </xdr:cxnSp>
    <xdr:clientData/>
  </xdr:twoCellAnchor>
  <xdr:twoCellAnchor>
    <xdr:from>
      <xdr:col>5</xdr:col>
      <xdr:colOff>827088</xdr:colOff>
      <xdr:row>9</xdr:row>
      <xdr:rowOff>117475</xdr:rowOff>
    </xdr:from>
    <xdr:to>
      <xdr:col>5</xdr:col>
      <xdr:colOff>962025</xdr:colOff>
      <xdr:row>10</xdr:row>
      <xdr:rowOff>111125</xdr:rowOff>
    </xdr:to>
    <xdr:sp macro="" textlink="">
      <xdr:nvSpPr>
        <xdr:cNvPr id="21" name="矩形 20"/>
        <xdr:cNvSpPr/>
      </xdr:nvSpPr>
      <xdr:spPr bwMode="auto">
        <a:xfrm>
          <a:off x="5256213" y="2860675"/>
          <a:ext cx="134937" cy="2222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38100" cap="flat" cmpd="sng" algn="ctr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zh-TW" altLang="en-US" sz="1100"/>
        </a:p>
      </xdr:txBody>
    </xdr:sp>
    <xdr:clientData/>
  </xdr:twoCellAnchor>
  <xdr:twoCellAnchor>
    <xdr:from>
      <xdr:col>5</xdr:col>
      <xdr:colOff>15875</xdr:colOff>
      <xdr:row>10</xdr:row>
      <xdr:rowOff>0</xdr:rowOff>
    </xdr:from>
    <xdr:to>
      <xdr:col>5</xdr:col>
      <xdr:colOff>894556</xdr:colOff>
      <xdr:row>11</xdr:row>
      <xdr:rowOff>114300</xdr:rowOff>
    </xdr:to>
    <xdr:cxnSp macro="">
      <xdr:nvCxnSpPr>
        <xdr:cNvPr id="22" name="直線接點 21"/>
        <xdr:cNvCxnSpPr/>
      </xdr:nvCxnSpPr>
      <xdr:spPr bwMode="auto">
        <a:xfrm flipV="1">
          <a:off x="4445000" y="2971800"/>
          <a:ext cx="878681" cy="342900"/>
        </a:xfrm>
        <a:prstGeom prst="line">
          <a:avLst/>
        </a:prstGeom>
        <a:solidFill>
          <a:srgbClr val="FFFFFF"/>
        </a:solidFill>
        <a:ln w="3175" cap="rnd" cmpd="sng" algn="ctr">
          <a:solidFill>
            <a:srgbClr xmlns:mc="http://schemas.openxmlformats.org/markup-compatibility/2006" xmlns:a14="http://schemas.microsoft.com/office/drawing/2010/main" val="00FF00" mc:Ignorable="a14" a14:legacySpreadsheetColorIndex="3"/>
          </a:solidFill>
          <a:prstDash val="dot"/>
          <a:round/>
          <a:headEnd type="oval" w="med" len="med"/>
          <a:tailEnd type="oval" w="med" len="med"/>
        </a:ln>
        <a:effectLst/>
      </xdr:spPr>
    </xdr:cxnSp>
    <xdr:clientData/>
  </xdr:twoCellAnchor>
  <xdr:twoCellAnchor>
    <xdr:from>
      <xdr:col>5</xdr:col>
      <xdr:colOff>886619</xdr:colOff>
      <xdr:row>10</xdr:row>
      <xdr:rowOff>120650</xdr:rowOff>
    </xdr:from>
    <xdr:to>
      <xdr:col>6</xdr:col>
      <xdr:colOff>53181</xdr:colOff>
      <xdr:row>11</xdr:row>
      <xdr:rowOff>146050</xdr:rowOff>
    </xdr:to>
    <xdr:sp macro="" textlink="">
      <xdr:nvSpPr>
        <xdr:cNvPr id="23" name="矩形 22"/>
        <xdr:cNvSpPr/>
      </xdr:nvSpPr>
      <xdr:spPr bwMode="auto">
        <a:xfrm>
          <a:off x="5315744" y="3092450"/>
          <a:ext cx="166687" cy="2540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38100" cap="flat" cmpd="sng" algn="ctr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zh-TW" altLang="en-US" sz="1100"/>
        </a:p>
      </xdr:txBody>
    </xdr:sp>
    <xdr:clientData/>
  </xdr:twoCellAnchor>
  <xdr:twoCellAnchor>
    <xdr:from>
      <xdr:col>5</xdr:col>
      <xdr:colOff>15875</xdr:colOff>
      <xdr:row>11</xdr:row>
      <xdr:rowOff>19050</xdr:rowOff>
    </xdr:from>
    <xdr:to>
      <xdr:col>5</xdr:col>
      <xdr:colOff>969963</xdr:colOff>
      <xdr:row>12</xdr:row>
      <xdr:rowOff>114300</xdr:rowOff>
    </xdr:to>
    <xdr:cxnSp macro="">
      <xdr:nvCxnSpPr>
        <xdr:cNvPr id="24" name="直線接點 23"/>
        <xdr:cNvCxnSpPr/>
      </xdr:nvCxnSpPr>
      <xdr:spPr bwMode="auto">
        <a:xfrm flipV="1">
          <a:off x="4445000" y="3219450"/>
          <a:ext cx="954088" cy="323850"/>
        </a:xfrm>
        <a:prstGeom prst="line">
          <a:avLst/>
        </a:prstGeom>
        <a:solidFill>
          <a:srgbClr val="FFFFFF"/>
        </a:solidFill>
        <a:ln w="3175" cap="rnd" cmpd="sng" algn="ctr">
          <a:solidFill>
            <a:srgbClr xmlns:mc="http://schemas.openxmlformats.org/markup-compatibility/2006" xmlns:a14="http://schemas.microsoft.com/office/drawing/2010/main" val="00FF00" mc:Ignorable="a14" a14:legacySpreadsheetColorIndex="3"/>
          </a:solidFill>
          <a:prstDash val="dot"/>
          <a:round/>
          <a:headEnd type="oval" w="med" len="med"/>
          <a:tailEnd type="oval" w="med" len="med"/>
        </a:ln>
        <a:effectLst/>
      </xdr:spPr>
    </xdr:cxnSp>
    <xdr:clientData/>
  </xdr:twoCellAnchor>
  <xdr:twoCellAnchor>
    <xdr:from>
      <xdr:col>5</xdr:col>
      <xdr:colOff>886619</xdr:colOff>
      <xdr:row>12</xdr:row>
      <xdr:rowOff>190500</xdr:rowOff>
    </xdr:from>
    <xdr:to>
      <xdr:col>6</xdr:col>
      <xdr:colOff>53181</xdr:colOff>
      <xdr:row>13</xdr:row>
      <xdr:rowOff>215900</xdr:rowOff>
    </xdr:to>
    <xdr:sp macro="" textlink="">
      <xdr:nvSpPr>
        <xdr:cNvPr id="25" name="矩形 24"/>
        <xdr:cNvSpPr/>
      </xdr:nvSpPr>
      <xdr:spPr bwMode="auto">
        <a:xfrm>
          <a:off x="5315744" y="3619500"/>
          <a:ext cx="166687" cy="2540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38100" cap="flat" cmpd="sng" algn="ctr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zh-TW" altLang="en-US" sz="1100"/>
        </a:p>
      </xdr:txBody>
    </xdr:sp>
    <xdr:clientData/>
  </xdr:twoCellAnchor>
  <xdr:twoCellAnchor>
    <xdr:from>
      <xdr:col>5</xdr:col>
      <xdr:colOff>15875</xdr:colOff>
      <xdr:row>13</xdr:row>
      <xdr:rowOff>88900</xdr:rowOff>
    </xdr:from>
    <xdr:to>
      <xdr:col>5</xdr:col>
      <xdr:colOff>969963</xdr:colOff>
      <xdr:row>13</xdr:row>
      <xdr:rowOff>114300</xdr:rowOff>
    </xdr:to>
    <xdr:cxnSp macro="">
      <xdr:nvCxnSpPr>
        <xdr:cNvPr id="26" name="直線接點 25"/>
        <xdr:cNvCxnSpPr/>
      </xdr:nvCxnSpPr>
      <xdr:spPr bwMode="auto">
        <a:xfrm flipV="1">
          <a:off x="4445000" y="3746500"/>
          <a:ext cx="954088" cy="25400"/>
        </a:xfrm>
        <a:prstGeom prst="line">
          <a:avLst/>
        </a:prstGeom>
        <a:solidFill>
          <a:srgbClr val="FFFFFF"/>
        </a:solidFill>
        <a:ln w="3175" cap="rnd" cmpd="sng" algn="ctr">
          <a:solidFill>
            <a:srgbClr xmlns:mc="http://schemas.openxmlformats.org/markup-compatibility/2006" xmlns:a14="http://schemas.microsoft.com/office/drawing/2010/main" val="00FF00" mc:Ignorable="a14" a14:legacySpreadsheetColorIndex="3"/>
          </a:solidFill>
          <a:prstDash val="dot"/>
          <a:round/>
          <a:headEnd type="oval" w="med" len="med"/>
          <a:tailEnd type="oval" w="med" len="med"/>
        </a:ln>
        <a:effectLst/>
      </xdr:spPr>
    </xdr:cxnSp>
    <xdr:clientData/>
  </xdr:twoCellAnchor>
  <xdr:twoCellAnchor>
    <xdr:from>
      <xdr:col>7</xdr:col>
      <xdr:colOff>648494</xdr:colOff>
      <xdr:row>13</xdr:row>
      <xdr:rowOff>225425</xdr:rowOff>
    </xdr:from>
    <xdr:to>
      <xdr:col>7</xdr:col>
      <xdr:colOff>815181</xdr:colOff>
      <xdr:row>15</xdr:row>
      <xdr:rowOff>22225</xdr:rowOff>
    </xdr:to>
    <xdr:sp macro="" textlink="">
      <xdr:nvSpPr>
        <xdr:cNvPr id="27" name="矩形 26"/>
        <xdr:cNvSpPr/>
      </xdr:nvSpPr>
      <xdr:spPr bwMode="auto">
        <a:xfrm>
          <a:off x="7077869" y="3883025"/>
          <a:ext cx="166687" cy="2540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38100" cap="flat" cmpd="sng" algn="ctr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zh-TW" altLang="en-US" sz="1100"/>
        </a:p>
      </xdr:txBody>
    </xdr:sp>
    <xdr:clientData/>
  </xdr:twoCellAnchor>
  <xdr:twoCellAnchor>
    <xdr:from>
      <xdr:col>5</xdr:col>
      <xdr:colOff>15875</xdr:colOff>
      <xdr:row>14</xdr:row>
      <xdr:rowOff>114300</xdr:rowOff>
    </xdr:from>
    <xdr:to>
      <xdr:col>7</xdr:col>
      <xdr:colOff>731838</xdr:colOff>
      <xdr:row>14</xdr:row>
      <xdr:rowOff>123825</xdr:rowOff>
    </xdr:to>
    <xdr:cxnSp macro="">
      <xdr:nvCxnSpPr>
        <xdr:cNvPr id="28" name="直線接點 27"/>
        <xdr:cNvCxnSpPr/>
      </xdr:nvCxnSpPr>
      <xdr:spPr bwMode="auto">
        <a:xfrm>
          <a:off x="4445000" y="4000500"/>
          <a:ext cx="2716213" cy="9525"/>
        </a:xfrm>
        <a:prstGeom prst="line">
          <a:avLst/>
        </a:prstGeom>
        <a:solidFill>
          <a:srgbClr val="FFFFFF"/>
        </a:solidFill>
        <a:ln w="3175" cap="rnd" cmpd="sng" algn="ctr">
          <a:solidFill>
            <a:srgbClr xmlns:mc="http://schemas.openxmlformats.org/markup-compatibility/2006" xmlns:a14="http://schemas.microsoft.com/office/drawing/2010/main" val="00FF00" mc:Ignorable="a14" a14:legacySpreadsheetColorIndex="3"/>
          </a:solidFill>
          <a:prstDash val="dot"/>
          <a:round/>
          <a:headEnd type="oval" w="med" len="med"/>
          <a:tailEnd type="oval" w="med" len="med"/>
        </a:ln>
        <a:effectLst/>
      </xdr:spPr>
    </xdr:cxnSp>
    <xdr:clientData/>
  </xdr:twoCellAnchor>
  <xdr:twoCellAnchor>
    <xdr:from>
      <xdr:col>8</xdr:col>
      <xdr:colOff>177006</xdr:colOff>
      <xdr:row>13</xdr:row>
      <xdr:rowOff>225425</xdr:rowOff>
    </xdr:from>
    <xdr:to>
      <xdr:col>8</xdr:col>
      <xdr:colOff>343694</xdr:colOff>
      <xdr:row>15</xdr:row>
      <xdr:rowOff>22225</xdr:rowOff>
    </xdr:to>
    <xdr:sp macro="" textlink="">
      <xdr:nvSpPr>
        <xdr:cNvPr id="29" name="矩形 28"/>
        <xdr:cNvSpPr/>
      </xdr:nvSpPr>
      <xdr:spPr bwMode="auto">
        <a:xfrm>
          <a:off x="7606506" y="3883025"/>
          <a:ext cx="166688" cy="2540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38100" cap="flat" cmpd="sng" algn="ctr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zh-TW" altLang="en-US" sz="1100"/>
        </a:p>
      </xdr:txBody>
    </xdr:sp>
    <xdr:clientData/>
  </xdr:twoCellAnchor>
  <xdr:twoCellAnchor>
    <xdr:from>
      <xdr:col>5</xdr:col>
      <xdr:colOff>15875</xdr:colOff>
      <xdr:row>14</xdr:row>
      <xdr:rowOff>123825</xdr:rowOff>
    </xdr:from>
    <xdr:to>
      <xdr:col>8</xdr:col>
      <xdr:colOff>260350</xdr:colOff>
      <xdr:row>15</xdr:row>
      <xdr:rowOff>114300</xdr:rowOff>
    </xdr:to>
    <xdr:cxnSp macro="">
      <xdr:nvCxnSpPr>
        <xdr:cNvPr id="30" name="直線接點 29"/>
        <xdr:cNvCxnSpPr/>
      </xdr:nvCxnSpPr>
      <xdr:spPr bwMode="auto">
        <a:xfrm flipV="1">
          <a:off x="4445000" y="4010025"/>
          <a:ext cx="3244850" cy="219075"/>
        </a:xfrm>
        <a:prstGeom prst="line">
          <a:avLst/>
        </a:prstGeom>
        <a:solidFill>
          <a:srgbClr val="FFFFFF"/>
        </a:solidFill>
        <a:ln w="3175" cap="rnd" cmpd="sng" algn="ctr">
          <a:solidFill>
            <a:srgbClr xmlns:mc="http://schemas.openxmlformats.org/markup-compatibility/2006" xmlns:a14="http://schemas.microsoft.com/office/drawing/2010/main" val="00FF00" mc:Ignorable="a14" a14:legacySpreadsheetColorIndex="3"/>
          </a:solidFill>
          <a:prstDash val="dot"/>
          <a:round/>
          <a:headEnd type="oval" w="med" len="med"/>
          <a:tailEnd type="oval" w="med" len="med"/>
        </a:ln>
        <a:effectLst/>
      </xdr:spPr>
    </xdr:cxnSp>
    <xdr:clientData/>
  </xdr:twoCellAnchor>
  <xdr:twoCellAnchor>
    <xdr:from>
      <xdr:col>8</xdr:col>
      <xdr:colOff>705644</xdr:colOff>
      <xdr:row>13</xdr:row>
      <xdr:rowOff>225425</xdr:rowOff>
    </xdr:from>
    <xdr:to>
      <xdr:col>8</xdr:col>
      <xdr:colOff>872331</xdr:colOff>
      <xdr:row>15</xdr:row>
      <xdr:rowOff>22225</xdr:rowOff>
    </xdr:to>
    <xdr:sp macro="" textlink="">
      <xdr:nvSpPr>
        <xdr:cNvPr id="31" name="矩形 30"/>
        <xdr:cNvSpPr/>
      </xdr:nvSpPr>
      <xdr:spPr bwMode="auto">
        <a:xfrm>
          <a:off x="8135144" y="3883025"/>
          <a:ext cx="166687" cy="2540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38100" cap="flat" cmpd="sng" algn="ctr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zh-TW" altLang="en-US" sz="1100"/>
        </a:p>
      </xdr:txBody>
    </xdr:sp>
    <xdr:clientData/>
  </xdr:twoCellAnchor>
  <xdr:twoCellAnchor>
    <xdr:from>
      <xdr:col>5</xdr:col>
      <xdr:colOff>15875</xdr:colOff>
      <xdr:row>14</xdr:row>
      <xdr:rowOff>123825</xdr:rowOff>
    </xdr:from>
    <xdr:to>
      <xdr:col>8</xdr:col>
      <xdr:colOff>788988</xdr:colOff>
      <xdr:row>16</xdr:row>
      <xdr:rowOff>114300</xdr:rowOff>
    </xdr:to>
    <xdr:cxnSp macro="">
      <xdr:nvCxnSpPr>
        <xdr:cNvPr id="32" name="直線接點 31"/>
        <xdr:cNvCxnSpPr/>
      </xdr:nvCxnSpPr>
      <xdr:spPr bwMode="auto">
        <a:xfrm flipV="1">
          <a:off x="4445000" y="4010025"/>
          <a:ext cx="3773488" cy="447675"/>
        </a:xfrm>
        <a:prstGeom prst="line">
          <a:avLst/>
        </a:prstGeom>
        <a:solidFill>
          <a:srgbClr val="FFFFFF"/>
        </a:solidFill>
        <a:ln w="3175" cap="rnd" cmpd="sng" algn="ctr">
          <a:solidFill>
            <a:srgbClr xmlns:mc="http://schemas.openxmlformats.org/markup-compatibility/2006" xmlns:a14="http://schemas.microsoft.com/office/drawing/2010/main" val="00FF00" mc:Ignorable="a14" a14:legacySpreadsheetColorIndex="3"/>
          </a:solidFill>
          <a:prstDash val="dot"/>
          <a:round/>
          <a:headEnd type="oval" w="med" len="med"/>
          <a:tailEnd type="oval" w="med" len="med"/>
        </a:ln>
        <a:effectLst/>
      </xdr:spPr>
    </xdr:cxnSp>
    <xdr:clientData/>
  </xdr:twoCellAnchor>
  <xdr:twoCellAnchor>
    <xdr:from>
      <xdr:col>8</xdr:col>
      <xdr:colOff>177006</xdr:colOff>
      <xdr:row>18</xdr:row>
      <xdr:rowOff>136525</xdr:rowOff>
    </xdr:from>
    <xdr:to>
      <xdr:col>8</xdr:col>
      <xdr:colOff>343694</xdr:colOff>
      <xdr:row>19</xdr:row>
      <xdr:rowOff>161925</xdr:rowOff>
    </xdr:to>
    <xdr:sp macro="" textlink="">
      <xdr:nvSpPr>
        <xdr:cNvPr id="33" name="矩形 32"/>
        <xdr:cNvSpPr/>
      </xdr:nvSpPr>
      <xdr:spPr bwMode="auto">
        <a:xfrm>
          <a:off x="7606506" y="4937125"/>
          <a:ext cx="166688" cy="2540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38100" cap="flat" cmpd="sng" algn="ctr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zh-TW" altLang="en-US" sz="1100"/>
        </a:p>
      </xdr:txBody>
    </xdr:sp>
    <xdr:clientData/>
  </xdr:twoCellAnchor>
  <xdr:twoCellAnchor>
    <xdr:from>
      <xdr:col>5</xdr:col>
      <xdr:colOff>15875</xdr:colOff>
      <xdr:row>17</xdr:row>
      <xdr:rowOff>114300</xdr:rowOff>
    </xdr:from>
    <xdr:to>
      <xdr:col>8</xdr:col>
      <xdr:colOff>260350</xdr:colOff>
      <xdr:row>19</xdr:row>
      <xdr:rowOff>34925</xdr:rowOff>
    </xdr:to>
    <xdr:cxnSp macro="">
      <xdr:nvCxnSpPr>
        <xdr:cNvPr id="34" name="直線接點 33"/>
        <xdr:cNvCxnSpPr/>
      </xdr:nvCxnSpPr>
      <xdr:spPr bwMode="auto">
        <a:xfrm>
          <a:off x="4445000" y="4686300"/>
          <a:ext cx="3244850" cy="377825"/>
        </a:xfrm>
        <a:prstGeom prst="line">
          <a:avLst/>
        </a:prstGeom>
        <a:solidFill>
          <a:srgbClr val="FFFFFF"/>
        </a:solidFill>
        <a:ln w="3175" cap="rnd" cmpd="sng" algn="ctr">
          <a:solidFill>
            <a:srgbClr xmlns:mc="http://schemas.openxmlformats.org/markup-compatibility/2006" xmlns:a14="http://schemas.microsoft.com/office/drawing/2010/main" val="00FF00" mc:Ignorable="a14" a14:legacySpreadsheetColorIndex="3"/>
          </a:solidFill>
          <a:prstDash val="dot"/>
          <a:round/>
          <a:headEnd type="oval" w="med" len="med"/>
          <a:tailEnd type="oval" w="med" len="med"/>
        </a:ln>
        <a:effectLst/>
      </xdr:spPr>
    </xdr:cxnSp>
    <xdr:clientData/>
  </xdr:twoCellAnchor>
  <xdr:twoCellAnchor>
    <xdr:from>
      <xdr:col>8</xdr:col>
      <xdr:colOff>177006</xdr:colOff>
      <xdr:row>19</xdr:row>
      <xdr:rowOff>171450</xdr:rowOff>
    </xdr:from>
    <xdr:to>
      <xdr:col>8</xdr:col>
      <xdr:colOff>343694</xdr:colOff>
      <xdr:row>20</xdr:row>
      <xdr:rowOff>196850</xdr:rowOff>
    </xdr:to>
    <xdr:sp macro="" textlink="">
      <xdr:nvSpPr>
        <xdr:cNvPr id="35" name="矩形 34"/>
        <xdr:cNvSpPr/>
      </xdr:nvSpPr>
      <xdr:spPr bwMode="auto">
        <a:xfrm>
          <a:off x="7606506" y="5200650"/>
          <a:ext cx="166688" cy="2540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38100" cap="flat" cmpd="sng" algn="ctr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zh-TW" altLang="en-US" sz="1100"/>
        </a:p>
      </xdr:txBody>
    </xdr:sp>
    <xdr:clientData/>
  </xdr:twoCellAnchor>
  <xdr:twoCellAnchor>
    <xdr:from>
      <xdr:col>5</xdr:col>
      <xdr:colOff>15875</xdr:colOff>
      <xdr:row>18</xdr:row>
      <xdr:rowOff>114300</xdr:rowOff>
    </xdr:from>
    <xdr:to>
      <xdr:col>8</xdr:col>
      <xdr:colOff>260350</xdr:colOff>
      <xdr:row>20</xdr:row>
      <xdr:rowOff>69850</xdr:rowOff>
    </xdr:to>
    <xdr:cxnSp macro="">
      <xdr:nvCxnSpPr>
        <xdr:cNvPr id="36" name="直線接點 35"/>
        <xdr:cNvCxnSpPr/>
      </xdr:nvCxnSpPr>
      <xdr:spPr bwMode="auto">
        <a:xfrm>
          <a:off x="4445000" y="4914900"/>
          <a:ext cx="3244850" cy="412750"/>
        </a:xfrm>
        <a:prstGeom prst="line">
          <a:avLst/>
        </a:prstGeom>
        <a:solidFill>
          <a:srgbClr val="FFFFFF"/>
        </a:solidFill>
        <a:ln w="3175" cap="rnd" cmpd="sng" algn="ctr">
          <a:solidFill>
            <a:srgbClr xmlns:mc="http://schemas.openxmlformats.org/markup-compatibility/2006" xmlns:a14="http://schemas.microsoft.com/office/drawing/2010/main" val="00FF00" mc:Ignorable="a14" a14:legacySpreadsheetColorIndex="3"/>
          </a:solidFill>
          <a:prstDash val="dot"/>
          <a:round/>
          <a:headEnd type="oval" w="med" len="med"/>
          <a:tailEnd type="oval" w="med" len="med"/>
        </a:ln>
        <a:effectLst/>
      </xdr:spPr>
    </xdr:cxnSp>
    <xdr:clientData/>
  </xdr:twoCellAnchor>
  <xdr:twoCellAnchor>
    <xdr:from>
      <xdr:col>8</xdr:col>
      <xdr:colOff>177006</xdr:colOff>
      <xdr:row>17</xdr:row>
      <xdr:rowOff>101600</xdr:rowOff>
    </xdr:from>
    <xdr:to>
      <xdr:col>8</xdr:col>
      <xdr:colOff>343694</xdr:colOff>
      <xdr:row>18</xdr:row>
      <xdr:rowOff>127000</xdr:rowOff>
    </xdr:to>
    <xdr:sp macro="" textlink="">
      <xdr:nvSpPr>
        <xdr:cNvPr id="37" name="矩形 36"/>
        <xdr:cNvSpPr/>
      </xdr:nvSpPr>
      <xdr:spPr bwMode="auto">
        <a:xfrm>
          <a:off x="7606506" y="4673600"/>
          <a:ext cx="166688" cy="2540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38100" cap="flat" cmpd="sng" algn="ctr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zh-TW" altLang="en-US" sz="1100"/>
        </a:p>
      </xdr:txBody>
    </xdr:sp>
    <xdr:clientData/>
  </xdr:twoCellAnchor>
  <xdr:twoCellAnchor>
    <xdr:from>
      <xdr:col>5</xdr:col>
      <xdr:colOff>15875</xdr:colOff>
      <xdr:row>18</xdr:row>
      <xdr:rowOff>0</xdr:rowOff>
    </xdr:from>
    <xdr:to>
      <xdr:col>8</xdr:col>
      <xdr:colOff>260350</xdr:colOff>
      <xdr:row>19</xdr:row>
      <xdr:rowOff>114300</xdr:rowOff>
    </xdr:to>
    <xdr:cxnSp macro="">
      <xdr:nvCxnSpPr>
        <xdr:cNvPr id="38" name="直線接點 37"/>
        <xdr:cNvCxnSpPr/>
      </xdr:nvCxnSpPr>
      <xdr:spPr bwMode="auto">
        <a:xfrm flipV="1">
          <a:off x="4445000" y="4800600"/>
          <a:ext cx="3244850" cy="342900"/>
        </a:xfrm>
        <a:prstGeom prst="line">
          <a:avLst/>
        </a:prstGeom>
        <a:solidFill>
          <a:srgbClr val="FFFFFF"/>
        </a:solidFill>
        <a:ln w="3175" cap="rnd" cmpd="sng" algn="ctr">
          <a:solidFill>
            <a:srgbClr xmlns:mc="http://schemas.openxmlformats.org/markup-compatibility/2006" xmlns:a14="http://schemas.microsoft.com/office/drawing/2010/main" val="00FF00" mc:Ignorable="a14" a14:legacySpreadsheetColorIndex="3"/>
          </a:solidFill>
          <a:prstDash val="dot"/>
          <a:round/>
          <a:headEnd type="oval" w="med" len="med"/>
          <a:tailEnd type="oval" w="med" len="med"/>
        </a:ln>
        <a:effectLst/>
      </xdr:spPr>
    </xdr:cxnSp>
    <xdr:clientData/>
  </xdr:twoCellAnchor>
  <xdr:twoCellAnchor>
    <xdr:from>
      <xdr:col>5</xdr:col>
      <xdr:colOff>886619</xdr:colOff>
      <xdr:row>15</xdr:row>
      <xdr:rowOff>31750</xdr:rowOff>
    </xdr:from>
    <xdr:to>
      <xdr:col>6</xdr:col>
      <xdr:colOff>53181</xdr:colOff>
      <xdr:row>16</xdr:row>
      <xdr:rowOff>57150</xdr:rowOff>
    </xdr:to>
    <xdr:sp macro="" textlink="">
      <xdr:nvSpPr>
        <xdr:cNvPr id="39" name="矩形 38"/>
        <xdr:cNvSpPr/>
      </xdr:nvSpPr>
      <xdr:spPr bwMode="auto">
        <a:xfrm>
          <a:off x="5315744" y="4146550"/>
          <a:ext cx="166687" cy="2540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38100" cap="flat" cmpd="sng" algn="ctr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zh-TW" altLang="en-US" sz="1100"/>
        </a:p>
      </xdr:txBody>
    </xdr:sp>
    <xdr:clientData/>
  </xdr:twoCellAnchor>
  <xdr:twoCellAnchor>
    <xdr:from>
      <xdr:col>5</xdr:col>
      <xdr:colOff>15875</xdr:colOff>
      <xdr:row>15</xdr:row>
      <xdr:rowOff>158750</xdr:rowOff>
    </xdr:from>
    <xdr:to>
      <xdr:col>5</xdr:col>
      <xdr:colOff>969963</xdr:colOff>
      <xdr:row>20</xdr:row>
      <xdr:rowOff>114300</xdr:rowOff>
    </xdr:to>
    <xdr:cxnSp macro="">
      <xdr:nvCxnSpPr>
        <xdr:cNvPr id="40" name="直線接點 39"/>
        <xdr:cNvCxnSpPr/>
      </xdr:nvCxnSpPr>
      <xdr:spPr bwMode="auto">
        <a:xfrm flipV="1">
          <a:off x="4445000" y="4273550"/>
          <a:ext cx="954088" cy="1098550"/>
        </a:xfrm>
        <a:prstGeom prst="line">
          <a:avLst/>
        </a:prstGeom>
        <a:solidFill>
          <a:srgbClr val="FFFFFF"/>
        </a:solidFill>
        <a:ln w="3175" cap="rnd" cmpd="sng" algn="ctr">
          <a:solidFill>
            <a:srgbClr xmlns:mc="http://schemas.openxmlformats.org/markup-compatibility/2006" xmlns:a14="http://schemas.microsoft.com/office/drawing/2010/main" val="00FF00" mc:Ignorable="a14" a14:legacySpreadsheetColorIndex="3"/>
          </a:solidFill>
          <a:prstDash val="dot"/>
          <a:round/>
          <a:headEnd type="oval" w="med" len="med"/>
          <a:tailEnd type="oval" w="med" len="med"/>
        </a:ln>
        <a:effectLst/>
      </xdr:spPr>
    </xdr:cxnSp>
    <xdr:clientData/>
  </xdr:twoCellAnchor>
  <xdr:twoCellAnchor>
    <xdr:from>
      <xdr:col>8</xdr:col>
      <xdr:colOff>881856</xdr:colOff>
      <xdr:row>17</xdr:row>
      <xdr:rowOff>101600</xdr:rowOff>
    </xdr:from>
    <xdr:to>
      <xdr:col>9</xdr:col>
      <xdr:colOff>48419</xdr:colOff>
      <xdr:row>18</xdr:row>
      <xdr:rowOff>127000</xdr:rowOff>
    </xdr:to>
    <xdr:sp macro="" textlink="">
      <xdr:nvSpPr>
        <xdr:cNvPr id="41" name="矩形 40"/>
        <xdr:cNvSpPr/>
      </xdr:nvSpPr>
      <xdr:spPr bwMode="auto">
        <a:xfrm>
          <a:off x="8311356" y="4673600"/>
          <a:ext cx="166688" cy="2540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38100" cap="flat" cmpd="sng" algn="ctr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zh-TW" altLang="en-US" sz="1100"/>
        </a:p>
      </xdr:txBody>
    </xdr:sp>
    <xdr:clientData/>
  </xdr:twoCellAnchor>
  <xdr:twoCellAnchor>
    <xdr:from>
      <xdr:col>5</xdr:col>
      <xdr:colOff>15875</xdr:colOff>
      <xdr:row>18</xdr:row>
      <xdr:rowOff>0</xdr:rowOff>
    </xdr:from>
    <xdr:to>
      <xdr:col>8</xdr:col>
      <xdr:colOff>965200</xdr:colOff>
      <xdr:row>21</xdr:row>
      <xdr:rowOff>114300</xdr:rowOff>
    </xdr:to>
    <xdr:cxnSp macro="">
      <xdr:nvCxnSpPr>
        <xdr:cNvPr id="42" name="直線接點 41"/>
        <xdr:cNvCxnSpPr/>
      </xdr:nvCxnSpPr>
      <xdr:spPr bwMode="auto">
        <a:xfrm flipV="1">
          <a:off x="4445000" y="4800600"/>
          <a:ext cx="3949700" cy="800100"/>
        </a:xfrm>
        <a:prstGeom prst="line">
          <a:avLst/>
        </a:prstGeom>
        <a:solidFill>
          <a:srgbClr val="FFFFFF"/>
        </a:solidFill>
        <a:ln w="3175" cap="rnd" cmpd="sng" algn="ctr">
          <a:solidFill>
            <a:srgbClr xmlns:mc="http://schemas.openxmlformats.org/markup-compatibility/2006" xmlns:a14="http://schemas.microsoft.com/office/drawing/2010/main" val="00FF00" mc:Ignorable="a14" a14:legacySpreadsheetColorIndex="3"/>
          </a:solidFill>
          <a:prstDash val="dot"/>
          <a:round/>
          <a:headEnd type="oval" w="med" len="med"/>
          <a:tailEnd type="oval" w="med" len="med"/>
        </a:ln>
        <a:effectLst/>
      </xdr:spPr>
    </xdr:cxnSp>
    <xdr:clientData/>
  </xdr:twoCellAnchor>
  <xdr:twoCellAnchor>
    <xdr:from>
      <xdr:col>7</xdr:col>
      <xdr:colOff>648494</xdr:colOff>
      <xdr:row>17</xdr:row>
      <xdr:rowOff>101600</xdr:rowOff>
    </xdr:from>
    <xdr:to>
      <xdr:col>7</xdr:col>
      <xdr:colOff>815181</xdr:colOff>
      <xdr:row>18</xdr:row>
      <xdr:rowOff>127000</xdr:rowOff>
    </xdr:to>
    <xdr:sp macro="" textlink="">
      <xdr:nvSpPr>
        <xdr:cNvPr id="43" name="矩形 42"/>
        <xdr:cNvSpPr/>
      </xdr:nvSpPr>
      <xdr:spPr bwMode="auto">
        <a:xfrm>
          <a:off x="7077869" y="4673600"/>
          <a:ext cx="166687" cy="2540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38100" cap="flat" cmpd="sng" algn="ctr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zh-TW" altLang="en-US" sz="1100"/>
        </a:p>
      </xdr:txBody>
    </xdr:sp>
    <xdr:clientData/>
  </xdr:twoCellAnchor>
  <xdr:twoCellAnchor>
    <xdr:from>
      <xdr:col>5</xdr:col>
      <xdr:colOff>15875</xdr:colOff>
      <xdr:row>18</xdr:row>
      <xdr:rowOff>0</xdr:rowOff>
    </xdr:from>
    <xdr:to>
      <xdr:col>7</xdr:col>
      <xdr:colOff>731838</xdr:colOff>
      <xdr:row>22</xdr:row>
      <xdr:rowOff>114300</xdr:rowOff>
    </xdr:to>
    <xdr:cxnSp macro="">
      <xdr:nvCxnSpPr>
        <xdr:cNvPr id="44" name="直線接點 43"/>
        <xdr:cNvCxnSpPr/>
      </xdr:nvCxnSpPr>
      <xdr:spPr bwMode="auto">
        <a:xfrm flipV="1">
          <a:off x="4445000" y="4800600"/>
          <a:ext cx="2716213" cy="1028700"/>
        </a:xfrm>
        <a:prstGeom prst="line">
          <a:avLst/>
        </a:prstGeom>
        <a:solidFill>
          <a:srgbClr val="FFFFFF"/>
        </a:solidFill>
        <a:ln w="3175" cap="rnd" cmpd="sng" algn="ctr">
          <a:solidFill>
            <a:srgbClr xmlns:mc="http://schemas.openxmlformats.org/markup-compatibility/2006" xmlns:a14="http://schemas.microsoft.com/office/drawing/2010/main" val="00FF00" mc:Ignorable="a14" a14:legacySpreadsheetColorIndex="3"/>
          </a:solidFill>
          <a:prstDash val="dot"/>
          <a:round/>
          <a:headEnd type="oval" w="med" len="med"/>
          <a:tailEnd type="oval" w="med" len="med"/>
        </a:ln>
        <a:effectLst/>
      </xdr:spPr>
    </xdr:cxnSp>
    <xdr:clientData/>
  </xdr:twoCellAnchor>
  <xdr:twoCellAnchor>
    <xdr:from>
      <xdr:col>5</xdr:col>
      <xdr:colOff>886619</xdr:colOff>
      <xdr:row>13</xdr:row>
      <xdr:rowOff>225425</xdr:rowOff>
    </xdr:from>
    <xdr:to>
      <xdr:col>6</xdr:col>
      <xdr:colOff>53181</xdr:colOff>
      <xdr:row>15</xdr:row>
      <xdr:rowOff>22225</xdr:rowOff>
    </xdr:to>
    <xdr:sp macro="" textlink="">
      <xdr:nvSpPr>
        <xdr:cNvPr id="45" name="矩形 44"/>
        <xdr:cNvSpPr/>
      </xdr:nvSpPr>
      <xdr:spPr bwMode="auto">
        <a:xfrm>
          <a:off x="5315744" y="3883025"/>
          <a:ext cx="166687" cy="2540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38100" cap="flat" cmpd="sng" algn="ctr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zh-TW" altLang="en-US" sz="1100"/>
        </a:p>
      </xdr:txBody>
    </xdr:sp>
    <xdr:clientData/>
  </xdr:twoCellAnchor>
  <xdr:twoCellAnchor>
    <xdr:from>
      <xdr:col>5</xdr:col>
      <xdr:colOff>15875</xdr:colOff>
      <xdr:row>14</xdr:row>
      <xdr:rowOff>123825</xdr:rowOff>
    </xdr:from>
    <xdr:to>
      <xdr:col>5</xdr:col>
      <xdr:colOff>969963</xdr:colOff>
      <xdr:row>23</xdr:row>
      <xdr:rowOff>114300</xdr:rowOff>
    </xdr:to>
    <xdr:cxnSp macro="">
      <xdr:nvCxnSpPr>
        <xdr:cNvPr id="46" name="直線接點 45"/>
        <xdr:cNvCxnSpPr/>
      </xdr:nvCxnSpPr>
      <xdr:spPr bwMode="auto">
        <a:xfrm flipV="1">
          <a:off x="4445000" y="4010025"/>
          <a:ext cx="954088" cy="2047875"/>
        </a:xfrm>
        <a:prstGeom prst="line">
          <a:avLst/>
        </a:prstGeom>
        <a:solidFill>
          <a:srgbClr val="FFFFFF"/>
        </a:solidFill>
        <a:ln w="3175" cap="rnd" cmpd="sng" algn="ctr">
          <a:solidFill>
            <a:srgbClr xmlns:mc="http://schemas.openxmlformats.org/markup-compatibility/2006" xmlns:a14="http://schemas.microsoft.com/office/drawing/2010/main" val="00FF00" mc:Ignorable="a14" a14:legacySpreadsheetColorIndex="3"/>
          </a:solidFill>
          <a:prstDash val="dot"/>
          <a:round/>
          <a:headEnd type="oval" w="med" len="med"/>
          <a:tailEnd type="oval" w="med" len="med"/>
        </a:ln>
        <a:effectLst/>
      </xdr:spPr>
    </xdr:cxnSp>
    <xdr:clientData/>
  </xdr:twoCellAnchor>
  <xdr:twoCellAnchor>
    <xdr:from>
      <xdr:col>5</xdr:col>
      <xdr:colOff>886619</xdr:colOff>
      <xdr:row>16</xdr:row>
      <xdr:rowOff>66675</xdr:rowOff>
    </xdr:from>
    <xdr:to>
      <xdr:col>6</xdr:col>
      <xdr:colOff>53181</xdr:colOff>
      <xdr:row>17</xdr:row>
      <xdr:rowOff>92075</xdr:rowOff>
    </xdr:to>
    <xdr:sp macro="" textlink="">
      <xdr:nvSpPr>
        <xdr:cNvPr id="47" name="矩形 46"/>
        <xdr:cNvSpPr/>
      </xdr:nvSpPr>
      <xdr:spPr bwMode="auto">
        <a:xfrm>
          <a:off x="5315744" y="4410075"/>
          <a:ext cx="166687" cy="2540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38100" cap="flat" cmpd="sng" algn="ctr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zh-TW" altLang="en-US" sz="1100"/>
        </a:p>
      </xdr:txBody>
    </xdr:sp>
    <xdr:clientData/>
  </xdr:twoCellAnchor>
  <xdr:twoCellAnchor>
    <xdr:from>
      <xdr:col>5</xdr:col>
      <xdr:colOff>15875</xdr:colOff>
      <xdr:row>16</xdr:row>
      <xdr:rowOff>193675</xdr:rowOff>
    </xdr:from>
    <xdr:to>
      <xdr:col>5</xdr:col>
      <xdr:colOff>969963</xdr:colOff>
      <xdr:row>24</xdr:row>
      <xdr:rowOff>114300</xdr:rowOff>
    </xdr:to>
    <xdr:cxnSp macro="">
      <xdr:nvCxnSpPr>
        <xdr:cNvPr id="48" name="直線接點 47"/>
        <xdr:cNvCxnSpPr/>
      </xdr:nvCxnSpPr>
      <xdr:spPr bwMode="auto">
        <a:xfrm flipV="1">
          <a:off x="4445000" y="4537075"/>
          <a:ext cx="954088" cy="1749425"/>
        </a:xfrm>
        <a:prstGeom prst="line">
          <a:avLst/>
        </a:prstGeom>
        <a:solidFill>
          <a:srgbClr val="FFFFFF"/>
        </a:solidFill>
        <a:ln w="3175" cap="rnd" cmpd="sng" algn="ctr">
          <a:solidFill>
            <a:srgbClr xmlns:mc="http://schemas.openxmlformats.org/markup-compatibility/2006" xmlns:a14="http://schemas.microsoft.com/office/drawing/2010/main" val="00FF00" mc:Ignorable="a14" a14:legacySpreadsheetColorIndex="3"/>
          </a:solidFill>
          <a:prstDash val="dot"/>
          <a:round/>
          <a:headEnd type="oval" w="med" len="med"/>
          <a:tailEnd type="oval" w="med" len="med"/>
        </a:ln>
        <a:effectLst/>
      </xdr:spPr>
    </xdr:cxnSp>
    <xdr:clientData/>
  </xdr:twoCellAnchor>
  <xdr:twoCellAnchor>
    <xdr:from>
      <xdr:col>5</xdr:col>
      <xdr:colOff>886619</xdr:colOff>
      <xdr:row>17</xdr:row>
      <xdr:rowOff>101600</xdr:rowOff>
    </xdr:from>
    <xdr:to>
      <xdr:col>6</xdr:col>
      <xdr:colOff>53181</xdr:colOff>
      <xdr:row>18</xdr:row>
      <xdr:rowOff>127000</xdr:rowOff>
    </xdr:to>
    <xdr:sp macro="" textlink="">
      <xdr:nvSpPr>
        <xdr:cNvPr id="49" name="矩形 48"/>
        <xdr:cNvSpPr/>
      </xdr:nvSpPr>
      <xdr:spPr bwMode="auto">
        <a:xfrm>
          <a:off x="5315744" y="4673600"/>
          <a:ext cx="166687" cy="2540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38100" cap="flat" cmpd="sng" algn="ctr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zh-TW" altLang="en-US" sz="1100"/>
        </a:p>
      </xdr:txBody>
    </xdr:sp>
    <xdr:clientData/>
  </xdr:twoCellAnchor>
  <xdr:twoCellAnchor>
    <xdr:from>
      <xdr:col>5</xdr:col>
      <xdr:colOff>15875</xdr:colOff>
      <xdr:row>18</xdr:row>
      <xdr:rowOff>0</xdr:rowOff>
    </xdr:from>
    <xdr:to>
      <xdr:col>5</xdr:col>
      <xdr:colOff>969963</xdr:colOff>
      <xdr:row>25</xdr:row>
      <xdr:rowOff>114300</xdr:rowOff>
    </xdr:to>
    <xdr:cxnSp macro="">
      <xdr:nvCxnSpPr>
        <xdr:cNvPr id="50" name="直線接點 49"/>
        <xdr:cNvCxnSpPr/>
      </xdr:nvCxnSpPr>
      <xdr:spPr bwMode="auto">
        <a:xfrm flipV="1">
          <a:off x="4445000" y="4800600"/>
          <a:ext cx="954088" cy="1714500"/>
        </a:xfrm>
        <a:prstGeom prst="line">
          <a:avLst/>
        </a:prstGeom>
        <a:solidFill>
          <a:srgbClr val="FFFFFF"/>
        </a:solidFill>
        <a:ln w="3175" cap="rnd" cmpd="sng" algn="ctr">
          <a:solidFill>
            <a:srgbClr xmlns:mc="http://schemas.openxmlformats.org/markup-compatibility/2006" xmlns:a14="http://schemas.microsoft.com/office/drawing/2010/main" val="00FF00" mc:Ignorable="a14" a14:legacySpreadsheetColorIndex="3"/>
          </a:solidFill>
          <a:prstDash val="dot"/>
          <a:round/>
          <a:headEnd type="oval" w="med" len="med"/>
          <a:tailEnd type="oval" w="med" len="med"/>
        </a:ln>
        <a:effectLst/>
      </xdr:spPr>
    </xdr:cxnSp>
    <xdr:clientData/>
  </xdr:twoCellAnchor>
  <xdr:twoCellAnchor>
    <xdr:from>
      <xdr:col>8</xdr:col>
      <xdr:colOff>641668</xdr:colOff>
      <xdr:row>20</xdr:row>
      <xdr:rowOff>187642</xdr:rowOff>
    </xdr:from>
    <xdr:to>
      <xdr:col>8</xdr:col>
      <xdr:colOff>713105</xdr:colOff>
      <xdr:row>20</xdr:row>
      <xdr:rowOff>195580</xdr:rowOff>
    </xdr:to>
    <xdr:sp macro="" textlink="">
      <xdr:nvSpPr>
        <xdr:cNvPr id="51" name="矩形 50"/>
        <xdr:cNvSpPr/>
      </xdr:nvSpPr>
      <xdr:spPr bwMode="auto">
        <a:xfrm>
          <a:off x="8071168" y="5445442"/>
          <a:ext cx="71437" cy="793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38100" cap="flat" cmpd="sng" algn="ctr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zh-TW" altLang="en-US" sz="1100"/>
        </a:p>
      </xdr:txBody>
    </xdr:sp>
    <xdr:clientData/>
  </xdr:twoCellAnchor>
  <xdr:twoCellAnchor>
    <xdr:from>
      <xdr:col>5</xdr:col>
      <xdr:colOff>15875</xdr:colOff>
      <xdr:row>20</xdr:row>
      <xdr:rowOff>191611</xdr:rowOff>
    </xdr:from>
    <xdr:to>
      <xdr:col>8</xdr:col>
      <xdr:colOff>677387</xdr:colOff>
      <xdr:row>26</xdr:row>
      <xdr:rowOff>114300</xdr:rowOff>
    </xdr:to>
    <xdr:cxnSp macro="">
      <xdr:nvCxnSpPr>
        <xdr:cNvPr id="52" name="直線接點 51"/>
        <xdr:cNvCxnSpPr/>
      </xdr:nvCxnSpPr>
      <xdr:spPr bwMode="auto">
        <a:xfrm flipV="1">
          <a:off x="4445000" y="5449411"/>
          <a:ext cx="3661887" cy="1294289"/>
        </a:xfrm>
        <a:prstGeom prst="line">
          <a:avLst/>
        </a:prstGeom>
        <a:solidFill>
          <a:srgbClr val="FFFFFF"/>
        </a:solidFill>
        <a:ln w="3175" cap="rnd" cmpd="sng" algn="ctr">
          <a:solidFill>
            <a:srgbClr xmlns:mc="http://schemas.openxmlformats.org/markup-compatibility/2006" xmlns:a14="http://schemas.microsoft.com/office/drawing/2010/main" val="00FF00" mc:Ignorable="a14" a14:legacySpreadsheetColorIndex="3"/>
          </a:solidFill>
          <a:prstDash val="dot"/>
          <a:round/>
          <a:headEnd type="oval" w="med" len="med"/>
          <a:tailEnd type="oval" w="med" len="med"/>
        </a:ln>
        <a:effectLst/>
      </xdr:spPr>
    </xdr:cxnSp>
    <xdr:clientData/>
  </xdr:twoCellAnchor>
  <xdr:twoCellAnchor>
    <xdr:from>
      <xdr:col>6</xdr:col>
      <xdr:colOff>399415</xdr:colOff>
      <xdr:row>6</xdr:row>
      <xdr:rowOff>109220</xdr:rowOff>
    </xdr:from>
    <xdr:to>
      <xdr:col>6</xdr:col>
      <xdr:colOff>470853</xdr:colOff>
      <xdr:row>6</xdr:row>
      <xdr:rowOff>117158</xdr:rowOff>
    </xdr:to>
    <xdr:sp macro="" textlink="">
      <xdr:nvSpPr>
        <xdr:cNvPr id="53" name="矩形 52"/>
        <xdr:cNvSpPr/>
      </xdr:nvSpPr>
      <xdr:spPr bwMode="auto">
        <a:xfrm>
          <a:off x="5828665" y="2166620"/>
          <a:ext cx="71438" cy="793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38100" cap="flat" cmpd="sng" algn="ctr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zh-TW" altLang="en-US" sz="1100"/>
        </a:p>
      </xdr:txBody>
    </xdr:sp>
    <xdr:clientData/>
  </xdr:twoCellAnchor>
  <xdr:twoCellAnchor>
    <xdr:from>
      <xdr:col>5</xdr:col>
      <xdr:colOff>15875</xdr:colOff>
      <xdr:row>6</xdr:row>
      <xdr:rowOff>113189</xdr:rowOff>
    </xdr:from>
    <xdr:to>
      <xdr:col>6</xdr:col>
      <xdr:colOff>435134</xdr:colOff>
      <xdr:row>27</xdr:row>
      <xdr:rowOff>114300</xdr:rowOff>
    </xdr:to>
    <xdr:cxnSp macro="">
      <xdr:nvCxnSpPr>
        <xdr:cNvPr id="54" name="直線接點 53"/>
        <xdr:cNvCxnSpPr/>
      </xdr:nvCxnSpPr>
      <xdr:spPr bwMode="auto">
        <a:xfrm flipV="1">
          <a:off x="4445000" y="2170589"/>
          <a:ext cx="1419384" cy="4801711"/>
        </a:xfrm>
        <a:prstGeom prst="line">
          <a:avLst/>
        </a:prstGeom>
        <a:solidFill>
          <a:srgbClr val="FFFFFF"/>
        </a:solidFill>
        <a:ln w="3175" cap="rnd" cmpd="sng" algn="ctr">
          <a:solidFill>
            <a:srgbClr xmlns:mc="http://schemas.openxmlformats.org/markup-compatibility/2006" xmlns:a14="http://schemas.microsoft.com/office/drawing/2010/main" val="00FF00" mc:Ignorable="a14" a14:legacySpreadsheetColorIndex="3"/>
          </a:solidFill>
          <a:prstDash val="dot"/>
          <a:round/>
          <a:headEnd type="oval" w="med" len="med"/>
          <a:tailEnd type="oval" w="med" len="med"/>
        </a:ln>
        <a:effectLst/>
      </xdr:spPr>
    </xdr:cxnSp>
    <xdr:clientData/>
  </xdr:twoCellAnchor>
  <xdr:twoCellAnchor>
    <xdr:from>
      <xdr:col>6</xdr:col>
      <xdr:colOff>434340</xdr:colOff>
      <xdr:row>20</xdr:row>
      <xdr:rowOff>187642</xdr:rowOff>
    </xdr:from>
    <xdr:to>
      <xdr:col>6</xdr:col>
      <xdr:colOff>505778</xdr:colOff>
      <xdr:row>20</xdr:row>
      <xdr:rowOff>195580</xdr:rowOff>
    </xdr:to>
    <xdr:sp macro="" textlink="">
      <xdr:nvSpPr>
        <xdr:cNvPr id="55" name="矩形 54"/>
        <xdr:cNvSpPr/>
      </xdr:nvSpPr>
      <xdr:spPr bwMode="auto">
        <a:xfrm>
          <a:off x="5863590" y="5445442"/>
          <a:ext cx="71438" cy="793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38100" cap="flat" cmpd="sng" algn="ctr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zh-TW" altLang="en-US" sz="1100"/>
        </a:p>
      </xdr:txBody>
    </xdr:sp>
    <xdr:clientData/>
  </xdr:twoCellAnchor>
  <xdr:twoCellAnchor>
    <xdr:from>
      <xdr:col>5</xdr:col>
      <xdr:colOff>15875</xdr:colOff>
      <xdr:row>20</xdr:row>
      <xdr:rowOff>191611</xdr:rowOff>
    </xdr:from>
    <xdr:to>
      <xdr:col>6</xdr:col>
      <xdr:colOff>470059</xdr:colOff>
      <xdr:row>28</xdr:row>
      <xdr:rowOff>114300</xdr:rowOff>
    </xdr:to>
    <xdr:cxnSp macro="">
      <xdr:nvCxnSpPr>
        <xdr:cNvPr id="56" name="直線接點 55"/>
        <xdr:cNvCxnSpPr/>
      </xdr:nvCxnSpPr>
      <xdr:spPr bwMode="auto">
        <a:xfrm flipV="1">
          <a:off x="4445000" y="5449411"/>
          <a:ext cx="1454309" cy="1751489"/>
        </a:xfrm>
        <a:prstGeom prst="line">
          <a:avLst/>
        </a:prstGeom>
        <a:solidFill>
          <a:srgbClr val="FFFFFF"/>
        </a:solidFill>
        <a:ln w="3175" cap="rnd" cmpd="sng" algn="ctr">
          <a:solidFill>
            <a:srgbClr xmlns:mc="http://schemas.openxmlformats.org/markup-compatibility/2006" xmlns:a14="http://schemas.microsoft.com/office/drawing/2010/main" val="00FF00" mc:Ignorable="a14" a14:legacySpreadsheetColorIndex="3"/>
          </a:solidFill>
          <a:prstDash val="dot"/>
          <a:round/>
          <a:headEnd type="oval" w="med" len="med"/>
          <a:tailEnd type="oval" w="med" len="med"/>
        </a:ln>
        <a:effectLst/>
      </xdr:spPr>
    </xdr:cxnSp>
    <xdr:clientData/>
  </xdr:twoCellAnchor>
  <xdr:twoCellAnchor>
    <xdr:from>
      <xdr:col>8</xdr:col>
      <xdr:colOff>641668</xdr:colOff>
      <xdr:row>6</xdr:row>
      <xdr:rowOff>109220</xdr:rowOff>
    </xdr:from>
    <xdr:to>
      <xdr:col>8</xdr:col>
      <xdr:colOff>713105</xdr:colOff>
      <xdr:row>6</xdr:row>
      <xdr:rowOff>117158</xdr:rowOff>
    </xdr:to>
    <xdr:sp macro="" textlink="">
      <xdr:nvSpPr>
        <xdr:cNvPr id="57" name="矩形 56"/>
        <xdr:cNvSpPr/>
      </xdr:nvSpPr>
      <xdr:spPr bwMode="auto">
        <a:xfrm>
          <a:off x="8071168" y="2166620"/>
          <a:ext cx="71437" cy="793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38100" cap="flat" cmpd="sng" algn="ctr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zh-TW" altLang="en-US" sz="1100"/>
        </a:p>
      </xdr:txBody>
    </xdr:sp>
    <xdr:clientData/>
  </xdr:twoCellAnchor>
  <xdr:twoCellAnchor>
    <xdr:from>
      <xdr:col>5</xdr:col>
      <xdr:colOff>15875</xdr:colOff>
      <xdr:row>6</xdr:row>
      <xdr:rowOff>113189</xdr:rowOff>
    </xdr:from>
    <xdr:to>
      <xdr:col>8</xdr:col>
      <xdr:colOff>677387</xdr:colOff>
      <xdr:row>29</xdr:row>
      <xdr:rowOff>114300</xdr:rowOff>
    </xdr:to>
    <xdr:cxnSp macro="">
      <xdr:nvCxnSpPr>
        <xdr:cNvPr id="58" name="直線接點 57"/>
        <xdr:cNvCxnSpPr/>
      </xdr:nvCxnSpPr>
      <xdr:spPr bwMode="auto">
        <a:xfrm flipV="1">
          <a:off x="4445000" y="2170589"/>
          <a:ext cx="3661887" cy="5258911"/>
        </a:xfrm>
        <a:prstGeom prst="line">
          <a:avLst/>
        </a:prstGeom>
        <a:solidFill>
          <a:srgbClr val="FFFFFF"/>
        </a:solidFill>
        <a:ln w="3175" cap="rnd" cmpd="sng" algn="ctr">
          <a:solidFill>
            <a:srgbClr xmlns:mc="http://schemas.openxmlformats.org/markup-compatibility/2006" xmlns:a14="http://schemas.microsoft.com/office/drawing/2010/main" val="00FF00" mc:Ignorable="a14" a14:legacySpreadsheetColorIndex="3"/>
          </a:solidFill>
          <a:prstDash val="dot"/>
          <a:round/>
          <a:headEnd type="oval" w="med" len="med"/>
          <a:tailEnd type="oval" w="med" len="med"/>
        </a:ln>
        <a:effectLst/>
      </xdr:spPr>
    </xdr:cxnSp>
    <xdr:clientData/>
  </xdr:twoCellAnchor>
  <xdr:twoCellAnchor>
    <xdr:from>
      <xdr:col>7</xdr:col>
      <xdr:colOff>292100</xdr:colOff>
      <xdr:row>18</xdr:row>
      <xdr:rowOff>147955</xdr:rowOff>
    </xdr:from>
    <xdr:to>
      <xdr:col>7</xdr:col>
      <xdr:colOff>300355</xdr:colOff>
      <xdr:row>19</xdr:row>
      <xdr:rowOff>74930</xdr:rowOff>
    </xdr:to>
    <xdr:sp macro="" textlink="">
      <xdr:nvSpPr>
        <xdr:cNvPr id="59" name="矩形 58"/>
        <xdr:cNvSpPr/>
      </xdr:nvSpPr>
      <xdr:spPr bwMode="auto">
        <a:xfrm>
          <a:off x="6721475" y="4948555"/>
          <a:ext cx="8255" cy="1555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38100" cap="flat" cmpd="sng" algn="ctr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zh-TW" altLang="en-US" sz="1100"/>
        </a:p>
      </xdr:txBody>
    </xdr:sp>
    <xdr:clientData/>
  </xdr:twoCellAnchor>
  <xdr:twoCellAnchor>
    <xdr:from>
      <xdr:col>5</xdr:col>
      <xdr:colOff>15875</xdr:colOff>
      <xdr:row>18</xdr:row>
      <xdr:rowOff>225742</xdr:rowOff>
    </xdr:from>
    <xdr:to>
      <xdr:col>7</xdr:col>
      <xdr:colOff>296228</xdr:colOff>
      <xdr:row>30</xdr:row>
      <xdr:rowOff>114300</xdr:rowOff>
    </xdr:to>
    <xdr:cxnSp macro="">
      <xdr:nvCxnSpPr>
        <xdr:cNvPr id="60" name="直線接點 59"/>
        <xdr:cNvCxnSpPr/>
      </xdr:nvCxnSpPr>
      <xdr:spPr bwMode="auto">
        <a:xfrm flipV="1">
          <a:off x="4445000" y="5026342"/>
          <a:ext cx="2280603" cy="2631758"/>
        </a:xfrm>
        <a:prstGeom prst="line">
          <a:avLst/>
        </a:prstGeom>
        <a:solidFill>
          <a:srgbClr val="FFFFFF"/>
        </a:solidFill>
        <a:ln w="3175" cap="rnd" cmpd="sng" algn="ctr">
          <a:solidFill>
            <a:srgbClr xmlns:mc="http://schemas.openxmlformats.org/markup-compatibility/2006" xmlns:a14="http://schemas.microsoft.com/office/drawing/2010/main" val="00FF00" mc:Ignorable="a14" a14:legacySpreadsheetColorIndex="3"/>
          </a:solidFill>
          <a:prstDash val="dot"/>
          <a:round/>
          <a:headEnd type="oval" w="med" len="med"/>
          <a:tailEnd type="oval" w="med" len="med"/>
        </a:ln>
        <a:effectLst/>
      </xdr:spPr>
    </xdr:cxnSp>
    <xdr:clientData/>
  </xdr:twoCellAnchor>
  <xdr:twoCellAnchor>
    <xdr:from>
      <xdr:col>7</xdr:col>
      <xdr:colOff>747395</xdr:colOff>
      <xdr:row>18</xdr:row>
      <xdr:rowOff>137795</xdr:rowOff>
    </xdr:from>
    <xdr:to>
      <xdr:col>7</xdr:col>
      <xdr:colOff>902970</xdr:colOff>
      <xdr:row>18</xdr:row>
      <xdr:rowOff>146050</xdr:rowOff>
    </xdr:to>
    <xdr:sp macro="" textlink="">
      <xdr:nvSpPr>
        <xdr:cNvPr id="61" name="矩形 60"/>
        <xdr:cNvSpPr/>
      </xdr:nvSpPr>
      <xdr:spPr bwMode="auto">
        <a:xfrm>
          <a:off x="7176770" y="4938395"/>
          <a:ext cx="155575" cy="825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38100" cap="flat" cmpd="sng" algn="ctr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zh-TW" altLang="en-US" sz="1100"/>
        </a:p>
      </xdr:txBody>
    </xdr:sp>
    <xdr:clientData/>
  </xdr:twoCellAnchor>
  <xdr:twoCellAnchor>
    <xdr:from>
      <xdr:col>5</xdr:col>
      <xdr:colOff>15875</xdr:colOff>
      <xdr:row>18</xdr:row>
      <xdr:rowOff>141922</xdr:rowOff>
    </xdr:from>
    <xdr:to>
      <xdr:col>7</xdr:col>
      <xdr:colOff>825182</xdr:colOff>
      <xdr:row>31</xdr:row>
      <xdr:rowOff>114300</xdr:rowOff>
    </xdr:to>
    <xdr:cxnSp macro="">
      <xdr:nvCxnSpPr>
        <xdr:cNvPr id="62" name="直線接點 61"/>
        <xdr:cNvCxnSpPr/>
      </xdr:nvCxnSpPr>
      <xdr:spPr bwMode="auto">
        <a:xfrm flipV="1">
          <a:off x="4445000" y="4942522"/>
          <a:ext cx="2809557" cy="2944178"/>
        </a:xfrm>
        <a:prstGeom prst="line">
          <a:avLst/>
        </a:prstGeom>
        <a:solidFill>
          <a:srgbClr val="FFFFFF"/>
        </a:solidFill>
        <a:ln w="3175" cap="rnd" cmpd="sng" algn="ctr">
          <a:solidFill>
            <a:srgbClr xmlns:mc="http://schemas.openxmlformats.org/markup-compatibility/2006" xmlns:a14="http://schemas.microsoft.com/office/drawing/2010/main" val="00FF00" mc:Ignorable="a14" a14:legacySpreadsheetColorIndex="3"/>
          </a:solidFill>
          <a:prstDash val="dot"/>
          <a:round/>
          <a:headEnd type="oval" w="med" len="med"/>
          <a:tailEnd type="oval" w="med" len="med"/>
        </a:ln>
        <a:effectLst/>
      </xdr:spPr>
    </xdr:cxnSp>
    <xdr:clientData/>
  </xdr:twoCellAnchor>
  <xdr:twoCellAnchor>
    <xdr:from>
      <xdr:col>5</xdr:col>
      <xdr:colOff>863917</xdr:colOff>
      <xdr:row>19</xdr:row>
      <xdr:rowOff>110808</xdr:rowOff>
    </xdr:from>
    <xdr:to>
      <xdr:col>7</xdr:col>
      <xdr:colOff>921068</xdr:colOff>
      <xdr:row>20</xdr:row>
      <xdr:rowOff>167958</xdr:rowOff>
    </xdr:to>
    <xdr:sp macro="" textlink="">
      <xdr:nvSpPr>
        <xdr:cNvPr id="63" name="矩形 62"/>
        <xdr:cNvSpPr/>
      </xdr:nvSpPr>
      <xdr:spPr bwMode="auto">
        <a:xfrm>
          <a:off x="5293042" y="5140008"/>
          <a:ext cx="2057401" cy="2857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38100" cap="flat" cmpd="sng" algn="ctr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zh-TW" altLang="en-US" sz="1100"/>
        </a:p>
      </xdr:txBody>
    </xdr:sp>
    <xdr:clientData/>
  </xdr:twoCellAnchor>
  <xdr:twoCellAnchor>
    <xdr:from>
      <xdr:col>5</xdr:col>
      <xdr:colOff>863917</xdr:colOff>
      <xdr:row>19</xdr:row>
      <xdr:rowOff>110808</xdr:rowOff>
    </xdr:from>
    <xdr:to>
      <xdr:col>7</xdr:col>
      <xdr:colOff>921068</xdr:colOff>
      <xdr:row>20</xdr:row>
      <xdr:rowOff>167958</xdr:rowOff>
    </xdr:to>
    <xdr:sp macro="" textlink="">
      <xdr:nvSpPr>
        <xdr:cNvPr id="64" name="矩形 63"/>
        <xdr:cNvSpPr/>
      </xdr:nvSpPr>
      <xdr:spPr bwMode="auto">
        <a:xfrm>
          <a:off x="5293042" y="5140008"/>
          <a:ext cx="2057401" cy="2857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38100" cap="flat" cmpd="sng" algn="ctr">
          <a:solidFill>
            <a:srgbClr xmlns:mc="http://schemas.openxmlformats.org/markup-compatibility/2006" xmlns:a14="http://schemas.microsoft.com/office/drawing/2010/main" val="993300" mc:Ignorable="a14" a14:legacySpreadsheetColorIndex="6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zh-TW" altLang="en-US" sz="1100"/>
        </a:p>
      </xdr:txBody>
    </xdr:sp>
    <xdr:clientData/>
  </xdr:twoCellAnchor>
  <xdr:twoCellAnchor>
    <xdr:from>
      <xdr:col>5</xdr:col>
      <xdr:colOff>15875</xdr:colOff>
      <xdr:row>20</xdr:row>
      <xdr:rowOff>25083</xdr:rowOff>
    </xdr:from>
    <xdr:to>
      <xdr:col>6</xdr:col>
      <xdr:colOff>892492</xdr:colOff>
      <xdr:row>32</xdr:row>
      <xdr:rowOff>114300</xdr:rowOff>
    </xdr:to>
    <xdr:cxnSp macro="">
      <xdr:nvCxnSpPr>
        <xdr:cNvPr id="65" name="直線接點 64"/>
        <xdr:cNvCxnSpPr/>
      </xdr:nvCxnSpPr>
      <xdr:spPr bwMode="auto">
        <a:xfrm flipV="1">
          <a:off x="4445000" y="5282883"/>
          <a:ext cx="1876742" cy="2832417"/>
        </a:xfrm>
        <a:prstGeom prst="line">
          <a:avLst/>
        </a:prstGeom>
        <a:solidFill>
          <a:srgbClr val="FFFFFF"/>
        </a:solidFill>
        <a:ln w="3175" cap="rnd" cmpd="sng" algn="ctr">
          <a:solidFill>
            <a:srgbClr xmlns:mc="http://schemas.openxmlformats.org/markup-compatibility/2006" xmlns:a14="http://schemas.microsoft.com/office/drawing/2010/main" val="00FF00" mc:Ignorable="a14" a14:legacySpreadsheetColorIndex="3"/>
          </a:solidFill>
          <a:prstDash val="dot"/>
          <a:round/>
          <a:headEnd type="oval" w="med" len="med"/>
          <a:tailEnd type="oval" w="med" len="med"/>
        </a:ln>
        <a:effectLst/>
      </xdr:spPr>
    </xdr:cxnSp>
    <xdr:clientData/>
  </xdr:twoCellAnchor>
  <xdr:twoCellAnchor>
    <xdr:from>
      <xdr:col>5</xdr:col>
      <xdr:colOff>863917</xdr:colOff>
      <xdr:row>18</xdr:row>
      <xdr:rowOff>136525</xdr:rowOff>
    </xdr:from>
    <xdr:to>
      <xdr:col>7</xdr:col>
      <xdr:colOff>117793</xdr:colOff>
      <xdr:row>19</xdr:row>
      <xdr:rowOff>109538</xdr:rowOff>
    </xdr:to>
    <xdr:sp macro="" textlink="">
      <xdr:nvSpPr>
        <xdr:cNvPr id="66" name="矩形 65"/>
        <xdr:cNvSpPr/>
      </xdr:nvSpPr>
      <xdr:spPr bwMode="auto">
        <a:xfrm>
          <a:off x="5293042" y="4937125"/>
          <a:ext cx="1254126" cy="201613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38100" cap="flat" cmpd="sng" algn="ctr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zh-TW" altLang="en-US" sz="1100"/>
        </a:p>
      </xdr:txBody>
    </xdr:sp>
    <xdr:clientData/>
  </xdr:twoCellAnchor>
  <xdr:twoCellAnchor>
    <xdr:from>
      <xdr:col>5</xdr:col>
      <xdr:colOff>863917</xdr:colOff>
      <xdr:row>18</xdr:row>
      <xdr:rowOff>136525</xdr:rowOff>
    </xdr:from>
    <xdr:to>
      <xdr:col>7</xdr:col>
      <xdr:colOff>117793</xdr:colOff>
      <xdr:row>19</xdr:row>
      <xdr:rowOff>109538</xdr:rowOff>
    </xdr:to>
    <xdr:sp macro="" textlink="">
      <xdr:nvSpPr>
        <xdr:cNvPr id="67" name="矩形 66"/>
        <xdr:cNvSpPr/>
      </xdr:nvSpPr>
      <xdr:spPr bwMode="auto">
        <a:xfrm>
          <a:off x="5293042" y="4937125"/>
          <a:ext cx="1254126" cy="201613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38100" cap="flat" cmpd="sng" algn="ctr">
          <a:solidFill>
            <a:srgbClr xmlns:mc="http://schemas.openxmlformats.org/markup-compatibility/2006" xmlns:a14="http://schemas.microsoft.com/office/drawing/2010/main" val="993300" mc:Ignorable="a14" a14:legacySpreadsheetColorIndex="6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zh-TW" altLang="en-US" sz="1100"/>
        </a:p>
      </xdr:txBody>
    </xdr:sp>
    <xdr:clientData/>
  </xdr:twoCellAnchor>
  <xdr:twoCellAnchor>
    <xdr:from>
      <xdr:col>5</xdr:col>
      <xdr:colOff>15875</xdr:colOff>
      <xdr:row>19</xdr:row>
      <xdr:rowOff>8731</xdr:rowOff>
    </xdr:from>
    <xdr:to>
      <xdr:col>6</xdr:col>
      <xdr:colOff>490855</xdr:colOff>
      <xdr:row>33</xdr:row>
      <xdr:rowOff>114300</xdr:rowOff>
    </xdr:to>
    <xdr:cxnSp macro="">
      <xdr:nvCxnSpPr>
        <xdr:cNvPr id="68" name="直線接點 67"/>
        <xdr:cNvCxnSpPr/>
      </xdr:nvCxnSpPr>
      <xdr:spPr bwMode="auto">
        <a:xfrm flipV="1">
          <a:off x="4445000" y="5037931"/>
          <a:ext cx="1475105" cy="3305969"/>
        </a:xfrm>
        <a:prstGeom prst="line">
          <a:avLst/>
        </a:prstGeom>
        <a:solidFill>
          <a:srgbClr val="FFFFFF"/>
        </a:solidFill>
        <a:ln w="3175" cap="rnd" cmpd="sng" algn="ctr">
          <a:solidFill>
            <a:srgbClr xmlns:mc="http://schemas.openxmlformats.org/markup-compatibility/2006" xmlns:a14="http://schemas.microsoft.com/office/drawing/2010/main" val="00FF00" mc:Ignorable="a14" a14:legacySpreadsheetColorIndex="3"/>
          </a:solidFill>
          <a:prstDash val="dot"/>
          <a:round/>
          <a:headEnd type="oval" w="med" len="med"/>
          <a:tailEnd type="oval" w="med" len="med"/>
        </a:ln>
        <a:effectLst/>
      </xdr:spPr>
    </xdr:cxnSp>
    <xdr:clientData/>
  </xdr:twoCellAnchor>
  <xdr:twoCellAnchor>
    <xdr:from>
      <xdr:col>5</xdr:col>
      <xdr:colOff>837565</xdr:colOff>
      <xdr:row>6</xdr:row>
      <xdr:rowOff>127635</xdr:rowOff>
    </xdr:from>
    <xdr:to>
      <xdr:col>6</xdr:col>
      <xdr:colOff>329565</xdr:colOff>
      <xdr:row>6</xdr:row>
      <xdr:rowOff>219234</xdr:rowOff>
    </xdr:to>
    <xdr:sp macro="" textlink="">
      <xdr:nvSpPr>
        <xdr:cNvPr id="69" name="矩形 68"/>
        <xdr:cNvSpPr/>
      </xdr:nvSpPr>
      <xdr:spPr bwMode="auto">
        <a:xfrm>
          <a:off x="5266690" y="2185035"/>
          <a:ext cx="492125" cy="9159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38100" cap="flat" cmpd="sng" algn="ctr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zh-TW" altLang="en-US" sz="1100"/>
        </a:p>
      </xdr:txBody>
    </xdr:sp>
    <xdr:clientData/>
  </xdr:twoCellAnchor>
  <xdr:twoCellAnchor>
    <xdr:from>
      <xdr:col>5</xdr:col>
      <xdr:colOff>837565</xdr:colOff>
      <xdr:row>6</xdr:row>
      <xdr:rowOff>127635</xdr:rowOff>
    </xdr:from>
    <xdr:to>
      <xdr:col>6</xdr:col>
      <xdr:colOff>329565</xdr:colOff>
      <xdr:row>6</xdr:row>
      <xdr:rowOff>219234</xdr:rowOff>
    </xdr:to>
    <xdr:sp macro="" textlink="">
      <xdr:nvSpPr>
        <xdr:cNvPr id="70" name="矩形 69"/>
        <xdr:cNvSpPr/>
      </xdr:nvSpPr>
      <xdr:spPr bwMode="auto">
        <a:xfrm>
          <a:off x="5266690" y="2185035"/>
          <a:ext cx="492125" cy="9159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38100" cap="flat" cmpd="sng" algn="ctr">
          <a:solidFill>
            <a:srgbClr xmlns:mc="http://schemas.openxmlformats.org/markup-compatibility/2006" xmlns:a14="http://schemas.microsoft.com/office/drawing/2010/main" val="993300" mc:Ignorable="a14" a14:legacySpreadsheetColorIndex="6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zh-TW" altLang="en-US" sz="1100"/>
        </a:p>
      </xdr:txBody>
    </xdr:sp>
    <xdr:clientData/>
  </xdr:twoCellAnchor>
  <xdr:twoCellAnchor>
    <xdr:from>
      <xdr:col>5</xdr:col>
      <xdr:colOff>15875</xdr:colOff>
      <xdr:row>6</xdr:row>
      <xdr:rowOff>173434</xdr:rowOff>
    </xdr:from>
    <xdr:to>
      <xdr:col>6</xdr:col>
      <xdr:colOff>83503</xdr:colOff>
      <xdr:row>34</xdr:row>
      <xdr:rowOff>114300</xdr:rowOff>
    </xdr:to>
    <xdr:cxnSp macro="">
      <xdr:nvCxnSpPr>
        <xdr:cNvPr id="71" name="直線接點 70"/>
        <xdr:cNvCxnSpPr/>
      </xdr:nvCxnSpPr>
      <xdr:spPr bwMode="auto">
        <a:xfrm flipV="1">
          <a:off x="4445000" y="2230834"/>
          <a:ext cx="1067753" cy="6341666"/>
        </a:xfrm>
        <a:prstGeom prst="line">
          <a:avLst/>
        </a:prstGeom>
        <a:solidFill>
          <a:srgbClr val="FFFFFF"/>
        </a:solidFill>
        <a:ln w="3175" cap="rnd" cmpd="sng" algn="ctr">
          <a:solidFill>
            <a:srgbClr xmlns:mc="http://schemas.openxmlformats.org/markup-compatibility/2006" xmlns:a14="http://schemas.microsoft.com/office/drawing/2010/main" val="00FF00" mc:Ignorable="a14" a14:legacySpreadsheetColorIndex="3"/>
          </a:solidFill>
          <a:prstDash val="dot"/>
          <a:round/>
          <a:headEnd type="oval" w="med" len="med"/>
          <a:tailEnd type="oval" w="med" len="med"/>
        </a:ln>
        <a:effectLst/>
      </xdr:spPr>
    </xdr:cxnSp>
    <xdr:clientData/>
  </xdr:twoCellAnchor>
  <xdr:twoCellAnchor>
    <xdr:from>
      <xdr:col>5</xdr:col>
      <xdr:colOff>882650</xdr:colOff>
      <xdr:row>6</xdr:row>
      <xdr:rowOff>220504</xdr:rowOff>
    </xdr:from>
    <xdr:to>
      <xdr:col>6</xdr:col>
      <xdr:colOff>263525</xdr:colOff>
      <xdr:row>7</xdr:row>
      <xdr:rowOff>83979</xdr:rowOff>
    </xdr:to>
    <xdr:sp macro="" textlink="">
      <xdr:nvSpPr>
        <xdr:cNvPr id="72" name="矩形 71"/>
        <xdr:cNvSpPr/>
      </xdr:nvSpPr>
      <xdr:spPr bwMode="auto">
        <a:xfrm>
          <a:off x="5311775" y="2277904"/>
          <a:ext cx="381000" cy="92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38100" cap="flat" cmpd="sng" algn="ctr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zh-TW" altLang="en-US" sz="1100"/>
        </a:p>
      </xdr:txBody>
    </xdr:sp>
    <xdr:clientData/>
  </xdr:twoCellAnchor>
  <xdr:twoCellAnchor>
    <xdr:from>
      <xdr:col>5</xdr:col>
      <xdr:colOff>882650</xdr:colOff>
      <xdr:row>6</xdr:row>
      <xdr:rowOff>220504</xdr:rowOff>
    </xdr:from>
    <xdr:to>
      <xdr:col>6</xdr:col>
      <xdr:colOff>263525</xdr:colOff>
      <xdr:row>7</xdr:row>
      <xdr:rowOff>83979</xdr:rowOff>
    </xdr:to>
    <xdr:sp macro="" textlink="">
      <xdr:nvSpPr>
        <xdr:cNvPr id="73" name="矩形 72"/>
        <xdr:cNvSpPr/>
      </xdr:nvSpPr>
      <xdr:spPr bwMode="auto">
        <a:xfrm>
          <a:off x="5311775" y="2277904"/>
          <a:ext cx="381000" cy="92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38100" cap="flat" cmpd="sng" algn="ctr">
          <a:solidFill>
            <a:srgbClr xmlns:mc="http://schemas.openxmlformats.org/markup-compatibility/2006" xmlns:a14="http://schemas.microsoft.com/office/drawing/2010/main" val="993300" mc:Ignorable="a14" a14:legacySpreadsheetColorIndex="6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zh-TW" altLang="en-US" sz="1100"/>
        </a:p>
      </xdr:txBody>
    </xdr:sp>
    <xdr:clientData/>
  </xdr:twoCellAnchor>
  <xdr:twoCellAnchor>
    <xdr:from>
      <xdr:col>5</xdr:col>
      <xdr:colOff>15875</xdr:colOff>
      <xdr:row>7</xdr:row>
      <xdr:rowOff>37941</xdr:rowOff>
    </xdr:from>
    <xdr:to>
      <xdr:col>6</xdr:col>
      <xdr:colOff>73025</xdr:colOff>
      <xdr:row>35</xdr:row>
      <xdr:rowOff>114300</xdr:rowOff>
    </xdr:to>
    <xdr:cxnSp macro="">
      <xdr:nvCxnSpPr>
        <xdr:cNvPr id="74" name="直線接點 73"/>
        <xdr:cNvCxnSpPr/>
      </xdr:nvCxnSpPr>
      <xdr:spPr bwMode="auto">
        <a:xfrm flipV="1">
          <a:off x="4445000" y="2323941"/>
          <a:ext cx="1057275" cy="6477159"/>
        </a:xfrm>
        <a:prstGeom prst="line">
          <a:avLst/>
        </a:prstGeom>
        <a:solidFill>
          <a:srgbClr val="FFFFFF"/>
        </a:solidFill>
        <a:ln w="3175" cap="rnd" cmpd="sng" algn="ctr">
          <a:solidFill>
            <a:srgbClr xmlns:mc="http://schemas.openxmlformats.org/markup-compatibility/2006" xmlns:a14="http://schemas.microsoft.com/office/drawing/2010/main" val="00FF00" mc:Ignorable="a14" a14:legacySpreadsheetColorIndex="3"/>
          </a:solidFill>
          <a:prstDash val="dot"/>
          <a:round/>
          <a:headEnd type="oval" w="med" len="med"/>
          <a:tailEnd type="oval" w="med" len="med"/>
        </a:ln>
        <a:effectLst/>
      </xdr:spPr>
    </xdr:cxnSp>
    <xdr:clientData/>
  </xdr:twoCellAnchor>
  <xdr:twoCellAnchor>
    <xdr:from>
      <xdr:col>8</xdr:col>
      <xdr:colOff>427038</xdr:colOff>
      <xdr:row>7</xdr:row>
      <xdr:rowOff>24448</xdr:rowOff>
    </xdr:from>
    <xdr:to>
      <xdr:col>8</xdr:col>
      <xdr:colOff>919163</xdr:colOff>
      <xdr:row>7</xdr:row>
      <xdr:rowOff>51435</xdr:rowOff>
    </xdr:to>
    <xdr:sp macro="" textlink="">
      <xdr:nvSpPr>
        <xdr:cNvPr id="75" name="矩形 74"/>
        <xdr:cNvSpPr/>
      </xdr:nvSpPr>
      <xdr:spPr bwMode="auto">
        <a:xfrm>
          <a:off x="7856538" y="2310448"/>
          <a:ext cx="492125" cy="26987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38100" cap="flat" cmpd="sng" algn="ctr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zh-TW" altLang="en-US" sz="1100"/>
        </a:p>
      </xdr:txBody>
    </xdr:sp>
    <xdr:clientData/>
  </xdr:twoCellAnchor>
  <xdr:twoCellAnchor>
    <xdr:from>
      <xdr:col>8</xdr:col>
      <xdr:colOff>427038</xdr:colOff>
      <xdr:row>7</xdr:row>
      <xdr:rowOff>24448</xdr:rowOff>
    </xdr:from>
    <xdr:to>
      <xdr:col>8</xdr:col>
      <xdr:colOff>919163</xdr:colOff>
      <xdr:row>7</xdr:row>
      <xdr:rowOff>51435</xdr:rowOff>
    </xdr:to>
    <xdr:sp macro="" textlink="">
      <xdr:nvSpPr>
        <xdr:cNvPr id="76" name="矩形 75"/>
        <xdr:cNvSpPr/>
      </xdr:nvSpPr>
      <xdr:spPr bwMode="auto">
        <a:xfrm>
          <a:off x="7856538" y="2310448"/>
          <a:ext cx="492125" cy="26987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38100" cap="flat" cmpd="sng" algn="ctr">
          <a:solidFill>
            <a:srgbClr xmlns:mc="http://schemas.openxmlformats.org/markup-compatibility/2006" xmlns:a14="http://schemas.microsoft.com/office/drawing/2010/main" val="993300" mc:Ignorable="a14" a14:legacySpreadsheetColorIndex="6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zh-TW" altLang="en-US" sz="1100"/>
        </a:p>
      </xdr:txBody>
    </xdr:sp>
    <xdr:clientData/>
  </xdr:twoCellAnchor>
  <xdr:twoCellAnchor>
    <xdr:from>
      <xdr:col>5</xdr:col>
      <xdr:colOff>15875</xdr:colOff>
      <xdr:row>7</xdr:row>
      <xdr:rowOff>37941</xdr:rowOff>
    </xdr:from>
    <xdr:to>
      <xdr:col>8</xdr:col>
      <xdr:colOff>673100</xdr:colOff>
      <xdr:row>36</xdr:row>
      <xdr:rowOff>114300</xdr:rowOff>
    </xdr:to>
    <xdr:cxnSp macro="">
      <xdr:nvCxnSpPr>
        <xdr:cNvPr id="77" name="直線接點 76"/>
        <xdr:cNvCxnSpPr/>
      </xdr:nvCxnSpPr>
      <xdr:spPr bwMode="auto">
        <a:xfrm flipV="1">
          <a:off x="4445000" y="2323941"/>
          <a:ext cx="3657600" cy="6705759"/>
        </a:xfrm>
        <a:prstGeom prst="line">
          <a:avLst/>
        </a:prstGeom>
        <a:solidFill>
          <a:srgbClr val="FFFFFF"/>
        </a:solidFill>
        <a:ln w="3175" cap="rnd" cmpd="sng" algn="ctr">
          <a:solidFill>
            <a:srgbClr xmlns:mc="http://schemas.openxmlformats.org/markup-compatibility/2006" xmlns:a14="http://schemas.microsoft.com/office/drawing/2010/main" val="00FF00" mc:Ignorable="a14" a14:legacySpreadsheetColorIndex="3"/>
          </a:solidFill>
          <a:prstDash val="dot"/>
          <a:round/>
          <a:headEnd type="oval" w="med" len="med"/>
          <a:tailEnd type="oval" w="med" len="med"/>
        </a:ln>
        <a:effectLst/>
      </xdr:spPr>
    </xdr:cxnSp>
    <xdr:clientData/>
  </xdr:twoCellAnchor>
  <xdr:twoCellAnchor>
    <xdr:from>
      <xdr:col>6</xdr:col>
      <xdr:colOff>264795</xdr:colOff>
      <xdr:row>7</xdr:row>
      <xdr:rowOff>19685</xdr:rowOff>
    </xdr:from>
    <xdr:to>
      <xdr:col>6</xdr:col>
      <xdr:colOff>518795</xdr:colOff>
      <xdr:row>7</xdr:row>
      <xdr:rowOff>85566</xdr:rowOff>
    </xdr:to>
    <xdr:sp macro="" textlink="">
      <xdr:nvSpPr>
        <xdr:cNvPr id="78" name="矩形 77"/>
        <xdr:cNvSpPr/>
      </xdr:nvSpPr>
      <xdr:spPr bwMode="auto">
        <a:xfrm>
          <a:off x="5694045" y="2305685"/>
          <a:ext cx="254000" cy="6588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38100" cap="flat" cmpd="sng" algn="ctr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zh-TW" altLang="en-US" sz="1100"/>
        </a:p>
      </xdr:txBody>
    </xdr:sp>
    <xdr:clientData/>
  </xdr:twoCellAnchor>
  <xdr:twoCellAnchor>
    <xdr:from>
      <xdr:col>6</xdr:col>
      <xdr:colOff>264795</xdr:colOff>
      <xdr:row>7</xdr:row>
      <xdr:rowOff>19685</xdr:rowOff>
    </xdr:from>
    <xdr:to>
      <xdr:col>6</xdr:col>
      <xdr:colOff>518795</xdr:colOff>
      <xdr:row>7</xdr:row>
      <xdr:rowOff>85566</xdr:rowOff>
    </xdr:to>
    <xdr:sp macro="" textlink="">
      <xdr:nvSpPr>
        <xdr:cNvPr id="79" name="矩形 78"/>
        <xdr:cNvSpPr/>
      </xdr:nvSpPr>
      <xdr:spPr bwMode="auto">
        <a:xfrm>
          <a:off x="5694045" y="2305685"/>
          <a:ext cx="254000" cy="6588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38100" cap="flat" cmpd="sng" algn="ctr">
          <a:solidFill>
            <a:srgbClr xmlns:mc="http://schemas.openxmlformats.org/markup-compatibility/2006" xmlns:a14="http://schemas.microsoft.com/office/drawing/2010/main" val="993300" mc:Ignorable="a14" a14:legacySpreadsheetColorIndex="6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zh-TW" altLang="en-US" sz="1100"/>
        </a:p>
      </xdr:txBody>
    </xdr:sp>
    <xdr:clientData/>
  </xdr:twoCellAnchor>
  <xdr:twoCellAnchor>
    <xdr:from>
      <xdr:col>5</xdr:col>
      <xdr:colOff>6445</xdr:colOff>
      <xdr:row>7</xdr:row>
      <xdr:rowOff>43196</xdr:rowOff>
    </xdr:from>
    <xdr:to>
      <xdr:col>6</xdr:col>
      <xdr:colOff>382365</xdr:colOff>
      <xdr:row>37</xdr:row>
      <xdr:rowOff>104870</xdr:rowOff>
    </xdr:to>
    <xdr:cxnSp macro="">
      <xdr:nvCxnSpPr>
        <xdr:cNvPr id="80" name="直線接點 79"/>
        <xdr:cNvCxnSpPr/>
      </xdr:nvCxnSpPr>
      <xdr:spPr bwMode="auto">
        <a:xfrm flipV="1">
          <a:off x="4438871" y="2320708"/>
          <a:ext cx="1375573" cy="6851773"/>
        </a:xfrm>
        <a:prstGeom prst="line">
          <a:avLst/>
        </a:prstGeom>
        <a:solidFill>
          <a:srgbClr val="FFFFFF"/>
        </a:solidFill>
        <a:ln w="3175" cap="rnd" cmpd="sng" algn="ctr">
          <a:solidFill>
            <a:srgbClr xmlns:mc="http://schemas.openxmlformats.org/markup-compatibility/2006" xmlns:a14="http://schemas.microsoft.com/office/drawing/2010/main" val="00FF00" mc:Ignorable="a14" a14:legacySpreadsheetColorIndex="3"/>
          </a:solidFill>
          <a:prstDash val="dot"/>
          <a:round/>
          <a:headEnd type="oval" w="med" len="med"/>
          <a:tailEnd type="oval" w="med" len="med"/>
        </a:ln>
        <a:effectLst/>
      </xdr:spPr>
    </xdr:cxnSp>
    <xdr:clientData/>
  </xdr:twoCellAnchor>
  <xdr:twoCellAnchor>
    <xdr:from>
      <xdr:col>8</xdr:col>
      <xdr:colOff>427038</xdr:colOff>
      <xdr:row>7</xdr:row>
      <xdr:rowOff>52705</xdr:rowOff>
    </xdr:from>
    <xdr:to>
      <xdr:col>8</xdr:col>
      <xdr:colOff>919163</xdr:colOff>
      <xdr:row>7</xdr:row>
      <xdr:rowOff>61754</xdr:rowOff>
    </xdr:to>
    <xdr:sp macro="" textlink="">
      <xdr:nvSpPr>
        <xdr:cNvPr id="81" name="矩形 80"/>
        <xdr:cNvSpPr/>
      </xdr:nvSpPr>
      <xdr:spPr bwMode="auto">
        <a:xfrm>
          <a:off x="7856538" y="2338705"/>
          <a:ext cx="492125" cy="904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38100" cap="flat" cmpd="sng" algn="ctr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zh-TW" altLang="en-US" sz="1100"/>
        </a:p>
      </xdr:txBody>
    </xdr:sp>
    <xdr:clientData/>
  </xdr:twoCellAnchor>
  <xdr:twoCellAnchor>
    <xdr:from>
      <xdr:col>8</xdr:col>
      <xdr:colOff>427038</xdr:colOff>
      <xdr:row>7</xdr:row>
      <xdr:rowOff>52705</xdr:rowOff>
    </xdr:from>
    <xdr:to>
      <xdr:col>8</xdr:col>
      <xdr:colOff>919163</xdr:colOff>
      <xdr:row>7</xdr:row>
      <xdr:rowOff>61754</xdr:rowOff>
    </xdr:to>
    <xdr:sp macro="" textlink="">
      <xdr:nvSpPr>
        <xdr:cNvPr id="82" name="矩形 81"/>
        <xdr:cNvSpPr/>
      </xdr:nvSpPr>
      <xdr:spPr bwMode="auto">
        <a:xfrm>
          <a:off x="7856538" y="2338705"/>
          <a:ext cx="492125" cy="904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38100" cap="flat" cmpd="sng" algn="ctr">
          <a:solidFill>
            <a:srgbClr xmlns:mc="http://schemas.openxmlformats.org/markup-compatibility/2006" xmlns:a14="http://schemas.microsoft.com/office/drawing/2010/main" val="993300" mc:Ignorable="a14" a14:legacySpreadsheetColorIndex="6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zh-TW" altLang="en-US" sz="1100"/>
        </a:p>
      </xdr:txBody>
    </xdr:sp>
    <xdr:clientData/>
  </xdr:twoCellAnchor>
  <xdr:twoCellAnchor>
    <xdr:from>
      <xdr:col>5</xdr:col>
      <xdr:colOff>15875</xdr:colOff>
      <xdr:row>7</xdr:row>
      <xdr:rowOff>57229</xdr:rowOff>
    </xdr:from>
    <xdr:to>
      <xdr:col>8</xdr:col>
      <xdr:colOff>673100</xdr:colOff>
      <xdr:row>38</xdr:row>
      <xdr:rowOff>114300</xdr:rowOff>
    </xdr:to>
    <xdr:cxnSp macro="">
      <xdr:nvCxnSpPr>
        <xdr:cNvPr id="83" name="直線接點 82"/>
        <xdr:cNvCxnSpPr/>
      </xdr:nvCxnSpPr>
      <xdr:spPr bwMode="auto">
        <a:xfrm flipV="1">
          <a:off x="4445000" y="2343229"/>
          <a:ext cx="3657600" cy="7143671"/>
        </a:xfrm>
        <a:prstGeom prst="line">
          <a:avLst/>
        </a:prstGeom>
        <a:solidFill>
          <a:srgbClr val="FFFFFF"/>
        </a:solidFill>
        <a:ln w="3175" cap="rnd" cmpd="sng" algn="ctr">
          <a:solidFill>
            <a:srgbClr xmlns:mc="http://schemas.openxmlformats.org/markup-compatibility/2006" xmlns:a14="http://schemas.microsoft.com/office/drawing/2010/main" val="00FF00" mc:Ignorable="a14" a14:legacySpreadsheetColorIndex="3"/>
          </a:solidFill>
          <a:prstDash val="dot"/>
          <a:round/>
          <a:headEnd type="oval" w="med" len="med"/>
          <a:tailEnd type="oval" w="med" len="med"/>
        </a:ln>
        <a:effectLst/>
      </xdr:spPr>
    </xdr:cxnSp>
    <xdr:clientData/>
  </xdr:twoCellAnchor>
  <xdr:twoCellAnchor>
    <xdr:from>
      <xdr:col>8</xdr:col>
      <xdr:colOff>427038</xdr:colOff>
      <xdr:row>7</xdr:row>
      <xdr:rowOff>63024</xdr:rowOff>
    </xdr:from>
    <xdr:to>
      <xdr:col>8</xdr:col>
      <xdr:colOff>919163</xdr:colOff>
      <xdr:row>7</xdr:row>
      <xdr:rowOff>72707</xdr:rowOff>
    </xdr:to>
    <xdr:sp macro="" textlink="">
      <xdr:nvSpPr>
        <xdr:cNvPr id="84" name="矩形 83"/>
        <xdr:cNvSpPr/>
      </xdr:nvSpPr>
      <xdr:spPr bwMode="auto">
        <a:xfrm>
          <a:off x="7856538" y="2349024"/>
          <a:ext cx="492125" cy="9683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38100" cap="flat" cmpd="sng" algn="ctr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zh-TW" altLang="en-US" sz="1100"/>
        </a:p>
      </xdr:txBody>
    </xdr:sp>
    <xdr:clientData/>
  </xdr:twoCellAnchor>
  <xdr:twoCellAnchor>
    <xdr:from>
      <xdr:col>8</xdr:col>
      <xdr:colOff>427038</xdr:colOff>
      <xdr:row>7</xdr:row>
      <xdr:rowOff>63024</xdr:rowOff>
    </xdr:from>
    <xdr:to>
      <xdr:col>8</xdr:col>
      <xdr:colOff>919163</xdr:colOff>
      <xdr:row>7</xdr:row>
      <xdr:rowOff>72707</xdr:rowOff>
    </xdr:to>
    <xdr:sp macro="" textlink="">
      <xdr:nvSpPr>
        <xdr:cNvPr id="85" name="矩形 84"/>
        <xdr:cNvSpPr/>
      </xdr:nvSpPr>
      <xdr:spPr bwMode="auto">
        <a:xfrm>
          <a:off x="7856538" y="2349024"/>
          <a:ext cx="492125" cy="9683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38100" cap="flat" cmpd="sng" algn="ctr">
          <a:solidFill>
            <a:srgbClr xmlns:mc="http://schemas.openxmlformats.org/markup-compatibility/2006" xmlns:a14="http://schemas.microsoft.com/office/drawing/2010/main" val="993300" mc:Ignorable="a14" a14:legacySpreadsheetColorIndex="6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zh-TW" altLang="en-US" sz="1100"/>
        </a:p>
      </xdr:txBody>
    </xdr:sp>
    <xdr:clientData/>
  </xdr:twoCellAnchor>
  <xdr:twoCellAnchor>
    <xdr:from>
      <xdr:col>5</xdr:col>
      <xdr:colOff>15875</xdr:colOff>
      <xdr:row>7</xdr:row>
      <xdr:rowOff>67866</xdr:rowOff>
    </xdr:from>
    <xdr:to>
      <xdr:col>8</xdr:col>
      <xdr:colOff>673100</xdr:colOff>
      <xdr:row>39</xdr:row>
      <xdr:rowOff>114300</xdr:rowOff>
    </xdr:to>
    <xdr:cxnSp macro="">
      <xdr:nvCxnSpPr>
        <xdr:cNvPr id="86" name="直線接點 85"/>
        <xdr:cNvCxnSpPr/>
      </xdr:nvCxnSpPr>
      <xdr:spPr bwMode="auto">
        <a:xfrm flipV="1">
          <a:off x="4445000" y="2353866"/>
          <a:ext cx="3657600" cy="7361634"/>
        </a:xfrm>
        <a:prstGeom prst="line">
          <a:avLst/>
        </a:prstGeom>
        <a:solidFill>
          <a:srgbClr val="FFFFFF"/>
        </a:solidFill>
        <a:ln w="3175" cap="rnd" cmpd="sng" algn="ctr">
          <a:solidFill>
            <a:srgbClr xmlns:mc="http://schemas.openxmlformats.org/markup-compatibility/2006" xmlns:a14="http://schemas.microsoft.com/office/drawing/2010/main" val="00FF00" mc:Ignorable="a14" a14:legacySpreadsheetColorIndex="3"/>
          </a:solidFill>
          <a:prstDash val="dot"/>
          <a:round/>
          <a:headEnd type="oval" w="med" len="med"/>
          <a:tailEnd type="oval" w="med" len="med"/>
        </a:ln>
        <a:effectLst/>
      </xdr:spPr>
    </xdr:cxnSp>
    <xdr:clientData/>
  </xdr:twoCellAnchor>
  <xdr:twoCellAnchor>
    <xdr:from>
      <xdr:col>8</xdr:col>
      <xdr:colOff>427038</xdr:colOff>
      <xdr:row>7</xdr:row>
      <xdr:rowOff>73977</xdr:rowOff>
    </xdr:from>
    <xdr:to>
      <xdr:col>8</xdr:col>
      <xdr:colOff>919163</xdr:colOff>
      <xdr:row>7</xdr:row>
      <xdr:rowOff>82232</xdr:rowOff>
    </xdr:to>
    <xdr:sp macro="" textlink="">
      <xdr:nvSpPr>
        <xdr:cNvPr id="87" name="矩形 86"/>
        <xdr:cNvSpPr/>
      </xdr:nvSpPr>
      <xdr:spPr bwMode="auto">
        <a:xfrm>
          <a:off x="7856538" y="2359977"/>
          <a:ext cx="492125" cy="825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38100" cap="flat" cmpd="sng" algn="ctr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zh-TW" altLang="en-US" sz="1100"/>
        </a:p>
      </xdr:txBody>
    </xdr:sp>
    <xdr:clientData/>
  </xdr:twoCellAnchor>
  <xdr:twoCellAnchor>
    <xdr:from>
      <xdr:col>8</xdr:col>
      <xdr:colOff>427038</xdr:colOff>
      <xdr:row>7</xdr:row>
      <xdr:rowOff>73977</xdr:rowOff>
    </xdr:from>
    <xdr:to>
      <xdr:col>8</xdr:col>
      <xdr:colOff>919163</xdr:colOff>
      <xdr:row>7</xdr:row>
      <xdr:rowOff>82232</xdr:rowOff>
    </xdr:to>
    <xdr:sp macro="" textlink="">
      <xdr:nvSpPr>
        <xdr:cNvPr id="88" name="矩形 87"/>
        <xdr:cNvSpPr/>
      </xdr:nvSpPr>
      <xdr:spPr bwMode="auto">
        <a:xfrm>
          <a:off x="7856538" y="2359977"/>
          <a:ext cx="492125" cy="825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38100" cap="flat" cmpd="sng" algn="ctr">
          <a:solidFill>
            <a:srgbClr xmlns:mc="http://schemas.openxmlformats.org/markup-compatibility/2006" xmlns:a14="http://schemas.microsoft.com/office/drawing/2010/main" val="993300" mc:Ignorable="a14" a14:legacySpreadsheetColorIndex="6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zh-TW" altLang="en-US" sz="1100"/>
        </a:p>
      </xdr:txBody>
    </xdr:sp>
    <xdr:clientData/>
  </xdr:twoCellAnchor>
  <xdr:twoCellAnchor>
    <xdr:from>
      <xdr:col>5</xdr:col>
      <xdr:colOff>15875</xdr:colOff>
      <xdr:row>7</xdr:row>
      <xdr:rowOff>78105</xdr:rowOff>
    </xdr:from>
    <xdr:to>
      <xdr:col>8</xdr:col>
      <xdr:colOff>673100</xdr:colOff>
      <xdr:row>40</xdr:row>
      <xdr:rowOff>114300</xdr:rowOff>
    </xdr:to>
    <xdr:cxnSp macro="">
      <xdr:nvCxnSpPr>
        <xdr:cNvPr id="89" name="直線接點 88"/>
        <xdr:cNvCxnSpPr/>
      </xdr:nvCxnSpPr>
      <xdr:spPr bwMode="auto">
        <a:xfrm flipV="1">
          <a:off x="4445000" y="2364105"/>
          <a:ext cx="3657600" cy="7579995"/>
        </a:xfrm>
        <a:prstGeom prst="line">
          <a:avLst/>
        </a:prstGeom>
        <a:solidFill>
          <a:srgbClr val="FFFFFF"/>
        </a:solidFill>
        <a:ln w="3175" cap="rnd" cmpd="sng" algn="ctr">
          <a:solidFill>
            <a:srgbClr xmlns:mc="http://schemas.openxmlformats.org/markup-compatibility/2006" xmlns:a14="http://schemas.microsoft.com/office/drawing/2010/main" val="00FF00" mc:Ignorable="a14" a14:legacySpreadsheetColorIndex="3"/>
          </a:solidFill>
          <a:prstDash val="dot"/>
          <a:round/>
          <a:headEnd type="oval" w="med" len="med"/>
          <a:tailEnd type="oval" w="med" len="med"/>
        </a:ln>
        <a:effectLst/>
      </xdr:spPr>
    </xdr:cxnSp>
    <xdr:clientData/>
  </xdr:twoCellAnchor>
  <xdr:twoCellAnchor>
    <xdr:from>
      <xdr:col>8</xdr:col>
      <xdr:colOff>427038</xdr:colOff>
      <xdr:row>7</xdr:row>
      <xdr:rowOff>83502</xdr:rowOff>
    </xdr:from>
    <xdr:to>
      <xdr:col>8</xdr:col>
      <xdr:colOff>919163</xdr:colOff>
      <xdr:row>7</xdr:row>
      <xdr:rowOff>91757</xdr:rowOff>
    </xdr:to>
    <xdr:sp macro="" textlink="">
      <xdr:nvSpPr>
        <xdr:cNvPr id="90" name="矩形 89"/>
        <xdr:cNvSpPr/>
      </xdr:nvSpPr>
      <xdr:spPr bwMode="auto">
        <a:xfrm>
          <a:off x="7856538" y="2369502"/>
          <a:ext cx="492125" cy="825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38100" cap="flat" cmpd="sng" algn="ctr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zh-TW" altLang="en-US" sz="1100"/>
        </a:p>
      </xdr:txBody>
    </xdr:sp>
    <xdr:clientData/>
  </xdr:twoCellAnchor>
  <xdr:twoCellAnchor>
    <xdr:from>
      <xdr:col>8</xdr:col>
      <xdr:colOff>427038</xdr:colOff>
      <xdr:row>7</xdr:row>
      <xdr:rowOff>83502</xdr:rowOff>
    </xdr:from>
    <xdr:to>
      <xdr:col>8</xdr:col>
      <xdr:colOff>919163</xdr:colOff>
      <xdr:row>7</xdr:row>
      <xdr:rowOff>91757</xdr:rowOff>
    </xdr:to>
    <xdr:sp macro="" textlink="">
      <xdr:nvSpPr>
        <xdr:cNvPr id="91" name="矩形 90"/>
        <xdr:cNvSpPr/>
      </xdr:nvSpPr>
      <xdr:spPr bwMode="auto">
        <a:xfrm>
          <a:off x="7856538" y="2369502"/>
          <a:ext cx="492125" cy="825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38100" cap="flat" cmpd="sng" algn="ctr">
          <a:solidFill>
            <a:srgbClr xmlns:mc="http://schemas.openxmlformats.org/markup-compatibility/2006" xmlns:a14="http://schemas.microsoft.com/office/drawing/2010/main" val="993300" mc:Ignorable="a14" a14:legacySpreadsheetColorIndex="6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zh-TW" altLang="en-US" sz="1100"/>
        </a:p>
      </xdr:txBody>
    </xdr:sp>
    <xdr:clientData/>
  </xdr:twoCellAnchor>
  <xdr:twoCellAnchor>
    <xdr:from>
      <xdr:col>5</xdr:col>
      <xdr:colOff>15875</xdr:colOff>
      <xdr:row>7</xdr:row>
      <xdr:rowOff>87630</xdr:rowOff>
    </xdr:from>
    <xdr:to>
      <xdr:col>8</xdr:col>
      <xdr:colOff>673100</xdr:colOff>
      <xdr:row>41</xdr:row>
      <xdr:rowOff>114300</xdr:rowOff>
    </xdr:to>
    <xdr:cxnSp macro="">
      <xdr:nvCxnSpPr>
        <xdr:cNvPr id="92" name="直線接點 91"/>
        <xdr:cNvCxnSpPr/>
      </xdr:nvCxnSpPr>
      <xdr:spPr bwMode="auto">
        <a:xfrm flipV="1">
          <a:off x="4445000" y="2373630"/>
          <a:ext cx="3657600" cy="7799070"/>
        </a:xfrm>
        <a:prstGeom prst="line">
          <a:avLst/>
        </a:prstGeom>
        <a:solidFill>
          <a:srgbClr val="FFFFFF"/>
        </a:solidFill>
        <a:ln w="3175" cap="rnd" cmpd="sng" algn="ctr">
          <a:solidFill>
            <a:srgbClr xmlns:mc="http://schemas.openxmlformats.org/markup-compatibility/2006" xmlns:a14="http://schemas.microsoft.com/office/drawing/2010/main" val="00FF00" mc:Ignorable="a14" a14:legacySpreadsheetColorIndex="3"/>
          </a:solidFill>
          <a:prstDash val="dot"/>
          <a:round/>
          <a:headEnd type="oval" w="med" len="med"/>
          <a:tailEnd type="oval" w="med" len="med"/>
        </a:ln>
        <a:effectLst/>
      </xdr:spPr>
    </xdr:cxnSp>
    <xdr:clientData/>
  </xdr:twoCellAnchor>
  <xdr:twoCellAnchor>
    <xdr:from>
      <xdr:col>5</xdr:col>
      <xdr:colOff>827088</xdr:colOff>
      <xdr:row>7</xdr:row>
      <xdr:rowOff>89535</xdr:rowOff>
    </xdr:from>
    <xdr:to>
      <xdr:col>6</xdr:col>
      <xdr:colOff>319088</xdr:colOff>
      <xdr:row>7</xdr:row>
      <xdr:rowOff>97790</xdr:rowOff>
    </xdr:to>
    <xdr:sp macro="" textlink="">
      <xdr:nvSpPr>
        <xdr:cNvPr id="93" name="矩形 92"/>
        <xdr:cNvSpPr/>
      </xdr:nvSpPr>
      <xdr:spPr bwMode="auto">
        <a:xfrm>
          <a:off x="5256213" y="2375535"/>
          <a:ext cx="492125" cy="825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38100" cap="flat" cmpd="sng" algn="ctr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zh-TW" altLang="en-US" sz="1100"/>
        </a:p>
      </xdr:txBody>
    </xdr:sp>
    <xdr:clientData/>
  </xdr:twoCellAnchor>
  <xdr:twoCellAnchor>
    <xdr:from>
      <xdr:col>5</xdr:col>
      <xdr:colOff>827088</xdr:colOff>
      <xdr:row>7</xdr:row>
      <xdr:rowOff>89535</xdr:rowOff>
    </xdr:from>
    <xdr:to>
      <xdr:col>6</xdr:col>
      <xdr:colOff>319088</xdr:colOff>
      <xdr:row>7</xdr:row>
      <xdr:rowOff>97790</xdr:rowOff>
    </xdr:to>
    <xdr:sp macro="" textlink="">
      <xdr:nvSpPr>
        <xdr:cNvPr id="94" name="矩形 93"/>
        <xdr:cNvSpPr/>
      </xdr:nvSpPr>
      <xdr:spPr bwMode="auto">
        <a:xfrm>
          <a:off x="5256213" y="2375535"/>
          <a:ext cx="492125" cy="825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38100" cap="flat" cmpd="sng" algn="ctr">
          <a:solidFill>
            <a:srgbClr xmlns:mc="http://schemas.openxmlformats.org/markup-compatibility/2006" xmlns:a14="http://schemas.microsoft.com/office/drawing/2010/main" val="993300" mc:Ignorable="a14" a14:legacySpreadsheetColorIndex="6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zh-TW" altLang="en-US" sz="1100"/>
        </a:p>
      </xdr:txBody>
    </xdr:sp>
    <xdr:clientData/>
  </xdr:twoCellAnchor>
  <xdr:twoCellAnchor>
    <xdr:from>
      <xdr:col>5</xdr:col>
      <xdr:colOff>15875</xdr:colOff>
      <xdr:row>7</xdr:row>
      <xdr:rowOff>93663</xdr:rowOff>
    </xdr:from>
    <xdr:to>
      <xdr:col>6</xdr:col>
      <xdr:colOff>73025</xdr:colOff>
      <xdr:row>42</xdr:row>
      <xdr:rowOff>114300</xdr:rowOff>
    </xdr:to>
    <xdr:cxnSp macro="">
      <xdr:nvCxnSpPr>
        <xdr:cNvPr id="95" name="直線接點 94"/>
        <xdr:cNvCxnSpPr/>
      </xdr:nvCxnSpPr>
      <xdr:spPr bwMode="auto">
        <a:xfrm flipV="1">
          <a:off x="4445000" y="2379663"/>
          <a:ext cx="1057275" cy="8021637"/>
        </a:xfrm>
        <a:prstGeom prst="line">
          <a:avLst/>
        </a:prstGeom>
        <a:solidFill>
          <a:srgbClr val="FFFFFF"/>
        </a:solidFill>
        <a:ln w="3175" cap="rnd" cmpd="sng" algn="ctr">
          <a:solidFill>
            <a:srgbClr xmlns:mc="http://schemas.openxmlformats.org/markup-compatibility/2006" xmlns:a14="http://schemas.microsoft.com/office/drawing/2010/main" val="00FF00" mc:Ignorable="a14" a14:legacySpreadsheetColorIndex="3"/>
          </a:solidFill>
          <a:prstDash val="dot"/>
          <a:round/>
          <a:headEnd type="oval" w="med" len="med"/>
          <a:tailEnd type="oval" w="med" len="med"/>
        </a:ln>
        <a:effectLst/>
      </xdr:spPr>
    </xdr:cxnSp>
    <xdr:clientData/>
  </xdr:twoCellAnchor>
  <xdr:twoCellAnchor>
    <xdr:from>
      <xdr:col>7</xdr:col>
      <xdr:colOff>301625</xdr:colOff>
      <xdr:row>18</xdr:row>
      <xdr:rowOff>179070</xdr:rowOff>
    </xdr:from>
    <xdr:to>
      <xdr:col>7</xdr:col>
      <xdr:colOff>793750</xdr:colOff>
      <xdr:row>18</xdr:row>
      <xdr:rowOff>187325</xdr:rowOff>
    </xdr:to>
    <xdr:sp macro="" textlink="">
      <xdr:nvSpPr>
        <xdr:cNvPr id="96" name="矩形 95"/>
        <xdr:cNvSpPr/>
      </xdr:nvSpPr>
      <xdr:spPr bwMode="auto">
        <a:xfrm>
          <a:off x="6731000" y="4979670"/>
          <a:ext cx="492125" cy="825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38100" cap="flat" cmpd="sng" algn="ctr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301625</xdr:colOff>
      <xdr:row>18</xdr:row>
      <xdr:rowOff>179070</xdr:rowOff>
    </xdr:from>
    <xdr:to>
      <xdr:col>7</xdr:col>
      <xdr:colOff>793750</xdr:colOff>
      <xdr:row>18</xdr:row>
      <xdr:rowOff>187325</xdr:rowOff>
    </xdr:to>
    <xdr:sp macro="" textlink="">
      <xdr:nvSpPr>
        <xdr:cNvPr id="97" name="矩形 96"/>
        <xdr:cNvSpPr/>
      </xdr:nvSpPr>
      <xdr:spPr bwMode="auto">
        <a:xfrm>
          <a:off x="6731000" y="4979670"/>
          <a:ext cx="492125" cy="825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38100" cap="flat" cmpd="sng" algn="ctr">
          <a:solidFill>
            <a:srgbClr xmlns:mc="http://schemas.openxmlformats.org/markup-compatibility/2006" xmlns:a14="http://schemas.microsoft.com/office/drawing/2010/main" val="993300" mc:Ignorable="a14" a14:legacySpreadsheetColorIndex="6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zh-TW" altLang="en-US" sz="1100"/>
        </a:p>
      </xdr:txBody>
    </xdr:sp>
    <xdr:clientData/>
  </xdr:twoCellAnchor>
  <xdr:twoCellAnchor>
    <xdr:from>
      <xdr:col>5</xdr:col>
      <xdr:colOff>15875</xdr:colOff>
      <xdr:row>18</xdr:row>
      <xdr:rowOff>183197</xdr:rowOff>
    </xdr:from>
    <xdr:to>
      <xdr:col>7</xdr:col>
      <xdr:colOff>547688</xdr:colOff>
      <xdr:row>43</xdr:row>
      <xdr:rowOff>114300</xdr:rowOff>
    </xdr:to>
    <xdr:cxnSp macro="">
      <xdr:nvCxnSpPr>
        <xdr:cNvPr id="98" name="直線接點 97"/>
        <xdr:cNvCxnSpPr/>
      </xdr:nvCxnSpPr>
      <xdr:spPr bwMode="auto">
        <a:xfrm flipV="1">
          <a:off x="4445000" y="4983797"/>
          <a:ext cx="2532063" cy="5646103"/>
        </a:xfrm>
        <a:prstGeom prst="line">
          <a:avLst/>
        </a:prstGeom>
        <a:solidFill>
          <a:srgbClr val="FFFFFF"/>
        </a:solidFill>
        <a:ln w="3175" cap="rnd" cmpd="sng" algn="ctr">
          <a:solidFill>
            <a:srgbClr xmlns:mc="http://schemas.openxmlformats.org/markup-compatibility/2006" xmlns:a14="http://schemas.microsoft.com/office/drawing/2010/main" val="00FF00" mc:Ignorable="a14" a14:legacySpreadsheetColorIndex="3"/>
          </a:solidFill>
          <a:prstDash val="dot"/>
          <a:round/>
          <a:headEnd type="oval" w="med" len="med"/>
          <a:tailEnd type="oval" w="med" len="med"/>
        </a:ln>
        <a:effectLst/>
      </xdr:spPr>
    </xdr:cxnSp>
    <xdr:clientData/>
  </xdr:twoCellAnchor>
  <xdr:twoCellAnchor>
    <xdr:from>
      <xdr:col>7</xdr:col>
      <xdr:colOff>301625</xdr:colOff>
      <xdr:row>18</xdr:row>
      <xdr:rowOff>188595</xdr:rowOff>
    </xdr:from>
    <xdr:to>
      <xdr:col>7</xdr:col>
      <xdr:colOff>793750</xdr:colOff>
      <xdr:row>18</xdr:row>
      <xdr:rowOff>196850</xdr:rowOff>
    </xdr:to>
    <xdr:sp macro="" textlink="">
      <xdr:nvSpPr>
        <xdr:cNvPr id="99" name="矩形 98"/>
        <xdr:cNvSpPr/>
      </xdr:nvSpPr>
      <xdr:spPr bwMode="auto">
        <a:xfrm>
          <a:off x="6731000" y="4989195"/>
          <a:ext cx="492125" cy="825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38100" cap="flat" cmpd="sng" algn="ctr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301625</xdr:colOff>
      <xdr:row>18</xdr:row>
      <xdr:rowOff>188595</xdr:rowOff>
    </xdr:from>
    <xdr:to>
      <xdr:col>7</xdr:col>
      <xdr:colOff>793750</xdr:colOff>
      <xdr:row>18</xdr:row>
      <xdr:rowOff>196850</xdr:rowOff>
    </xdr:to>
    <xdr:sp macro="" textlink="">
      <xdr:nvSpPr>
        <xdr:cNvPr id="100" name="矩形 99"/>
        <xdr:cNvSpPr/>
      </xdr:nvSpPr>
      <xdr:spPr bwMode="auto">
        <a:xfrm>
          <a:off x="6731000" y="4989195"/>
          <a:ext cx="492125" cy="825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38100" cap="flat" cmpd="sng" algn="ctr">
          <a:solidFill>
            <a:srgbClr xmlns:mc="http://schemas.openxmlformats.org/markup-compatibility/2006" xmlns:a14="http://schemas.microsoft.com/office/drawing/2010/main" val="993300" mc:Ignorable="a14" a14:legacySpreadsheetColorIndex="6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zh-TW" altLang="en-US" sz="1100"/>
        </a:p>
      </xdr:txBody>
    </xdr:sp>
    <xdr:clientData/>
  </xdr:twoCellAnchor>
  <xdr:twoCellAnchor>
    <xdr:from>
      <xdr:col>5</xdr:col>
      <xdr:colOff>15875</xdr:colOff>
      <xdr:row>18</xdr:row>
      <xdr:rowOff>192722</xdr:rowOff>
    </xdr:from>
    <xdr:to>
      <xdr:col>7</xdr:col>
      <xdr:colOff>547688</xdr:colOff>
      <xdr:row>44</xdr:row>
      <xdr:rowOff>114300</xdr:rowOff>
    </xdr:to>
    <xdr:cxnSp macro="">
      <xdr:nvCxnSpPr>
        <xdr:cNvPr id="101" name="直線接點 100"/>
        <xdr:cNvCxnSpPr/>
      </xdr:nvCxnSpPr>
      <xdr:spPr bwMode="auto">
        <a:xfrm flipV="1">
          <a:off x="4445000" y="4993322"/>
          <a:ext cx="2532063" cy="5865178"/>
        </a:xfrm>
        <a:prstGeom prst="line">
          <a:avLst/>
        </a:prstGeom>
        <a:solidFill>
          <a:srgbClr val="FFFFFF"/>
        </a:solidFill>
        <a:ln w="3175" cap="rnd" cmpd="sng" algn="ctr">
          <a:solidFill>
            <a:srgbClr xmlns:mc="http://schemas.openxmlformats.org/markup-compatibility/2006" xmlns:a14="http://schemas.microsoft.com/office/drawing/2010/main" val="00FF00" mc:Ignorable="a14" a14:legacySpreadsheetColorIndex="3"/>
          </a:solidFill>
          <a:prstDash val="dot"/>
          <a:round/>
          <a:headEnd type="oval" w="med" len="med"/>
          <a:tailEnd type="oval" w="med" len="med"/>
        </a:ln>
        <a:effectLst/>
      </xdr:spPr>
    </xdr:cxnSp>
    <xdr:clientData/>
  </xdr:twoCellAnchor>
  <xdr:twoCellAnchor>
    <xdr:from>
      <xdr:col>5</xdr:col>
      <xdr:colOff>822325</xdr:colOff>
      <xdr:row>6</xdr:row>
      <xdr:rowOff>103188</xdr:rowOff>
    </xdr:from>
    <xdr:to>
      <xdr:col>5</xdr:col>
      <xdr:colOff>822325</xdr:colOff>
      <xdr:row>20</xdr:row>
      <xdr:rowOff>201613</xdr:rowOff>
    </xdr:to>
    <xdr:cxnSp macro="">
      <xdr:nvCxnSpPr>
        <xdr:cNvPr id="102" name="直線接點 101"/>
        <xdr:cNvCxnSpPr/>
      </xdr:nvCxnSpPr>
      <xdr:spPr bwMode="auto">
        <a:xfrm flipV="1">
          <a:off x="5251450" y="2160588"/>
          <a:ext cx="0" cy="3298825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9</xdr:col>
      <xdr:colOff>288925</xdr:colOff>
      <xdr:row>6</xdr:row>
      <xdr:rowOff>103188</xdr:rowOff>
    </xdr:from>
    <xdr:to>
      <xdr:col>9</xdr:col>
      <xdr:colOff>288925</xdr:colOff>
      <xdr:row>20</xdr:row>
      <xdr:rowOff>201613</xdr:rowOff>
    </xdr:to>
    <xdr:cxnSp macro="">
      <xdr:nvCxnSpPr>
        <xdr:cNvPr id="103" name="直線接點 102"/>
        <xdr:cNvCxnSpPr/>
      </xdr:nvCxnSpPr>
      <xdr:spPr bwMode="auto">
        <a:xfrm flipV="1">
          <a:off x="8718550" y="2160588"/>
          <a:ext cx="0" cy="3298825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822325</xdr:colOff>
      <xdr:row>20</xdr:row>
      <xdr:rowOff>201613</xdr:rowOff>
    </xdr:from>
    <xdr:to>
      <xdr:col>9</xdr:col>
      <xdr:colOff>288925</xdr:colOff>
      <xdr:row>20</xdr:row>
      <xdr:rowOff>201613</xdr:rowOff>
    </xdr:to>
    <xdr:cxnSp macro="">
      <xdr:nvCxnSpPr>
        <xdr:cNvPr id="104" name="直線接點 103"/>
        <xdr:cNvCxnSpPr/>
      </xdr:nvCxnSpPr>
      <xdr:spPr bwMode="auto">
        <a:xfrm>
          <a:off x="5251450" y="5459413"/>
          <a:ext cx="3467100" cy="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822325</xdr:colOff>
      <xdr:row>6</xdr:row>
      <xdr:rowOff>103188</xdr:rowOff>
    </xdr:from>
    <xdr:to>
      <xdr:col>9</xdr:col>
      <xdr:colOff>288925</xdr:colOff>
      <xdr:row>6</xdr:row>
      <xdr:rowOff>103188</xdr:rowOff>
    </xdr:to>
    <xdr:cxnSp macro="">
      <xdr:nvCxnSpPr>
        <xdr:cNvPr id="105" name="直線接點 104"/>
        <xdr:cNvCxnSpPr/>
      </xdr:nvCxnSpPr>
      <xdr:spPr bwMode="auto">
        <a:xfrm>
          <a:off x="5251450" y="2160588"/>
          <a:ext cx="3467100" cy="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812800</xdr:colOff>
      <xdr:row>9</xdr:row>
      <xdr:rowOff>127095</xdr:rowOff>
    </xdr:from>
    <xdr:to>
      <xdr:col>9</xdr:col>
      <xdr:colOff>279400</xdr:colOff>
      <xdr:row>9</xdr:row>
      <xdr:rowOff>127095</xdr:rowOff>
    </xdr:to>
    <xdr:cxnSp macro="">
      <xdr:nvCxnSpPr>
        <xdr:cNvPr id="106" name="直線接點 105"/>
        <xdr:cNvCxnSpPr/>
      </xdr:nvCxnSpPr>
      <xdr:spPr bwMode="auto">
        <a:xfrm>
          <a:off x="5245226" y="2857281"/>
          <a:ext cx="3465214" cy="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812800</xdr:colOff>
      <xdr:row>8</xdr:row>
      <xdr:rowOff>123920</xdr:rowOff>
    </xdr:from>
    <xdr:to>
      <xdr:col>9</xdr:col>
      <xdr:colOff>279400</xdr:colOff>
      <xdr:row>8</xdr:row>
      <xdr:rowOff>123920</xdr:rowOff>
    </xdr:to>
    <xdr:cxnSp macro="">
      <xdr:nvCxnSpPr>
        <xdr:cNvPr id="107" name="直線接點 106"/>
        <xdr:cNvCxnSpPr/>
      </xdr:nvCxnSpPr>
      <xdr:spPr bwMode="auto">
        <a:xfrm>
          <a:off x="5245226" y="2627769"/>
          <a:ext cx="3465214" cy="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812800</xdr:colOff>
      <xdr:row>7</xdr:row>
      <xdr:rowOff>120745</xdr:rowOff>
    </xdr:from>
    <xdr:to>
      <xdr:col>9</xdr:col>
      <xdr:colOff>279400</xdr:colOff>
      <xdr:row>7</xdr:row>
      <xdr:rowOff>120745</xdr:rowOff>
    </xdr:to>
    <xdr:cxnSp macro="">
      <xdr:nvCxnSpPr>
        <xdr:cNvPr id="108" name="直線接點 107"/>
        <xdr:cNvCxnSpPr/>
      </xdr:nvCxnSpPr>
      <xdr:spPr bwMode="auto">
        <a:xfrm>
          <a:off x="5245226" y="2398257"/>
          <a:ext cx="3465214" cy="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965201</xdr:colOff>
      <xdr:row>7</xdr:row>
      <xdr:rowOff>121904</xdr:rowOff>
    </xdr:from>
    <xdr:to>
      <xdr:col>5</xdr:col>
      <xdr:colOff>969727</xdr:colOff>
      <xdr:row>10</xdr:row>
      <xdr:rowOff>120650</xdr:rowOff>
    </xdr:to>
    <xdr:cxnSp macro="">
      <xdr:nvCxnSpPr>
        <xdr:cNvPr id="110" name="直線接點 109"/>
        <xdr:cNvCxnSpPr>
          <a:stCxn id="23" idx="0"/>
        </xdr:cNvCxnSpPr>
      </xdr:nvCxnSpPr>
      <xdr:spPr bwMode="auto">
        <a:xfrm flipH="1" flipV="1">
          <a:off x="5397627" y="2399416"/>
          <a:ext cx="4526" cy="677756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6</xdr:col>
      <xdr:colOff>109537</xdr:colOff>
      <xdr:row>7</xdr:row>
      <xdr:rowOff>121904</xdr:rowOff>
    </xdr:from>
    <xdr:to>
      <xdr:col>6</xdr:col>
      <xdr:colOff>113169</xdr:colOff>
      <xdr:row>10</xdr:row>
      <xdr:rowOff>103738</xdr:rowOff>
    </xdr:to>
    <xdr:cxnSp macro="">
      <xdr:nvCxnSpPr>
        <xdr:cNvPr id="111" name="直線接點 110"/>
        <xdr:cNvCxnSpPr/>
      </xdr:nvCxnSpPr>
      <xdr:spPr bwMode="auto">
        <a:xfrm flipH="1" flipV="1">
          <a:off x="5541616" y="2399416"/>
          <a:ext cx="3632" cy="660844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6</xdr:col>
      <xdr:colOff>254000</xdr:colOff>
      <xdr:row>7</xdr:row>
      <xdr:rowOff>121908</xdr:rowOff>
    </xdr:from>
    <xdr:to>
      <xdr:col>6</xdr:col>
      <xdr:colOff>254629</xdr:colOff>
      <xdr:row>10</xdr:row>
      <xdr:rowOff>108453</xdr:rowOff>
    </xdr:to>
    <xdr:cxnSp macro="">
      <xdr:nvCxnSpPr>
        <xdr:cNvPr id="112" name="直線接點 111"/>
        <xdr:cNvCxnSpPr/>
      </xdr:nvCxnSpPr>
      <xdr:spPr bwMode="auto">
        <a:xfrm flipH="1" flipV="1">
          <a:off x="5686079" y="2399420"/>
          <a:ext cx="629" cy="665555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6</xdr:col>
      <xdr:colOff>396089</xdr:colOff>
      <xdr:row>7</xdr:row>
      <xdr:rowOff>126621</xdr:rowOff>
    </xdr:from>
    <xdr:to>
      <xdr:col>6</xdr:col>
      <xdr:colOff>398462</xdr:colOff>
      <xdr:row>10</xdr:row>
      <xdr:rowOff>113169</xdr:rowOff>
    </xdr:to>
    <xdr:cxnSp macro="">
      <xdr:nvCxnSpPr>
        <xdr:cNvPr id="113" name="直線接點 112"/>
        <xdr:cNvCxnSpPr/>
      </xdr:nvCxnSpPr>
      <xdr:spPr bwMode="auto">
        <a:xfrm flipV="1">
          <a:off x="5828168" y="2404133"/>
          <a:ext cx="2373" cy="665558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6</xdr:col>
      <xdr:colOff>542265</xdr:colOff>
      <xdr:row>7</xdr:row>
      <xdr:rowOff>117189</xdr:rowOff>
    </xdr:from>
    <xdr:to>
      <xdr:col>6</xdr:col>
      <xdr:colOff>542925</xdr:colOff>
      <xdr:row>10</xdr:row>
      <xdr:rowOff>108453</xdr:rowOff>
    </xdr:to>
    <xdr:cxnSp macro="">
      <xdr:nvCxnSpPr>
        <xdr:cNvPr id="114" name="直線接點 113"/>
        <xdr:cNvCxnSpPr/>
      </xdr:nvCxnSpPr>
      <xdr:spPr bwMode="auto">
        <a:xfrm flipV="1">
          <a:off x="5974344" y="2394701"/>
          <a:ext cx="660" cy="670274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6</xdr:col>
      <xdr:colOff>683725</xdr:colOff>
      <xdr:row>6</xdr:row>
      <xdr:rowOff>88900</xdr:rowOff>
    </xdr:from>
    <xdr:to>
      <xdr:col>6</xdr:col>
      <xdr:colOff>687387</xdr:colOff>
      <xdr:row>10</xdr:row>
      <xdr:rowOff>103738</xdr:rowOff>
    </xdr:to>
    <xdr:cxnSp macro="">
      <xdr:nvCxnSpPr>
        <xdr:cNvPr id="115" name="直線接點 114"/>
        <xdr:cNvCxnSpPr/>
      </xdr:nvCxnSpPr>
      <xdr:spPr bwMode="auto">
        <a:xfrm flipV="1">
          <a:off x="6115804" y="2140076"/>
          <a:ext cx="3662" cy="920184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6</xdr:col>
      <xdr:colOff>829901</xdr:colOff>
      <xdr:row>6</xdr:row>
      <xdr:rowOff>88901</xdr:rowOff>
    </xdr:from>
    <xdr:to>
      <xdr:col>6</xdr:col>
      <xdr:colOff>831850</xdr:colOff>
      <xdr:row>10</xdr:row>
      <xdr:rowOff>99023</xdr:rowOff>
    </xdr:to>
    <xdr:cxnSp macro="">
      <xdr:nvCxnSpPr>
        <xdr:cNvPr id="116" name="直線接點 115"/>
        <xdr:cNvCxnSpPr/>
      </xdr:nvCxnSpPr>
      <xdr:spPr bwMode="auto">
        <a:xfrm flipV="1">
          <a:off x="6261980" y="2140077"/>
          <a:ext cx="1949" cy="915468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6</xdr:col>
      <xdr:colOff>971362</xdr:colOff>
      <xdr:row>6</xdr:row>
      <xdr:rowOff>88901</xdr:rowOff>
    </xdr:from>
    <xdr:to>
      <xdr:col>6</xdr:col>
      <xdr:colOff>976312</xdr:colOff>
      <xdr:row>10</xdr:row>
      <xdr:rowOff>108453</xdr:rowOff>
    </xdr:to>
    <xdr:cxnSp macro="">
      <xdr:nvCxnSpPr>
        <xdr:cNvPr id="117" name="直線接點 116"/>
        <xdr:cNvCxnSpPr/>
      </xdr:nvCxnSpPr>
      <xdr:spPr bwMode="auto">
        <a:xfrm flipV="1">
          <a:off x="6403441" y="2140077"/>
          <a:ext cx="4950" cy="924898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7</xdr:col>
      <xdr:colOff>120651</xdr:colOff>
      <xdr:row>6</xdr:row>
      <xdr:rowOff>88901</xdr:rowOff>
    </xdr:from>
    <xdr:to>
      <xdr:col>7</xdr:col>
      <xdr:colOff>122599</xdr:colOff>
      <xdr:row>10</xdr:row>
      <xdr:rowOff>103738</xdr:rowOff>
    </xdr:to>
    <xdr:cxnSp macro="">
      <xdr:nvCxnSpPr>
        <xdr:cNvPr id="118" name="直線接點 117"/>
        <xdr:cNvCxnSpPr/>
      </xdr:nvCxnSpPr>
      <xdr:spPr bwMode="auto">
        <a:xfrm flipH="1" flipV="1">
          <a:off x="6552384" y="2140077"/>
          <a:ext cx="1948" cy="920183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7</xdr:col>
      <xdr:colOff>259344</xdr:colOff>
      <xdr:row>6</xdr:row>
      <xdr:rowOff>88901</xdr:rowOff>
    </xdr:from>
    <xdr:to>
      <xdr:col>7</xdr:col>
      <xdr:colOff>265112</xdr:colOff>
      <xdr:row>10</xdr:row>
      <xdr:rowOff>99023</xdr:rowOff>
    </xdr:to>
    <xdr:cxnSp macro="">
      <xdr:nvCxnSpPr>
        <xdr:cNvPr id="119" name="直線接點 118"/>
        <xdr:cNvCxnSpPr/>
      </xdr:nvCxnSpPr>
      <xdr:spPr bwMode="auto">
        <a:xfrm flipV="1">
          <a:off x="6691077" y="2140077"/>
          <a:ext cx="5768" cy="915468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7</xdr:col>
      <xdr:colOff>405519</xdr:colOff>
      <xdr:row>6</xdr:row>
      <xdr:rowOff>88901</xdr:rowOff>
    </xdr:from>
    <xdr:to>
      <xdr:col>7</xdr:col>
      <xdr:colOff>409575</xdr:colOff>
      <xdr:row>10</xdr:row>
      <xdr:rowOff>94307</xdr:rowOff>
    </xdr:to>
    <xdr:cxnSp macro="">
      <xdr:nvCxnSpPr>
        <xdr:cNvPr id="120" name="直線接點 119"/>
        <xdr:cNvCxnSpPr/>
      </xdr:nvCxnSpPr>
      <xdr:spPr bwMode="auto">
        <a:xfrm flipV="1">
          <a:off x="6837252" y="2140077"/>
          <a:ext cx="4056" cy="910752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7</xdr:col>
      <xdr:colOff>546980</xdr:colOff>
      <xdr:row>6</xdr:row>
      <xdr:rowOff>88900</xdr:rowOff>
    </xdr:from>
    <xdr:to>
      <xdr:col>7</xdr:col>
      <xdr:colOff>554037</xdr:colOff>
      <xdr:row>10</xdr:row>
      <xdr:rowOff>99023</xdr:rowOff>
    </xdr:to>
    <xdr:cxnSp macro="">
      <xdr:nvCxnSpPr>
        <xdr:cNvPr id="121" name="直線接點 120"/>
        <xdr:cNvCxnSpPr/>
      </xdr:nvCxnSpPr>
      <xdr:spPr bwMode="auto">
        <a:xfrm flipV="1">
          <a:off x="6978713" y="2140076"/>
          <a:ext cx="7057" cy="915469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7</xdr:col>
      <xdr:colOff>688440</xdr:colOff>
      <xdr:row>6</xdr:row>
      <xdr:rowOff>88900</xdr:rowOff>
    </xdr:from>
    <xdr:to>
      <xdr:col>7</xdr:col>
      <xdr:colOff>698500</xdr:colOff>
      <xdr:row>10</xdr:row>
      <xdr:rowOff>108453</xdr:rowOff>
    </xdr:to>
    <xdr:cxnSp macro="">
      <xdr:nvCxnSpPr>
        <xdr:cNvPr id="122" name="直線接點 121"/>
        <xdr:cNvCxnSpPr/>
      </xdr:nvCxnSpPr>
      <xdr:spPr bwMode="auto">
        <a:xfrm flipV="1">
          <a:off x="7120173" y="2140076"/>
          <a:ext cx="10060" cy="924899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7</xdr:col>
      <xdr:colOff>834616</xdr:colOff>
      <xdr:row>6</xdr:row>
      <xdr:rowOff>88901</xdr:rowOff>
    </xdr:from>
    <xdr:to>
      <xdr:col>7</xdr:col>
      <xdr:colOff>842962</xdr:colOff>
      <xdr:row>10</xdr:row>
      <xdr:rowOff>122599</xdr:rowOff>
    </xdr:to>
    <xdr:cxnSp macro="">
      <xdr:nvCxnSpPr>
        <xdr:cNvPr id="123" name="直線接點 122"/>
        <xdr:cNvCxnSpPr/>
      </xdr:nvCxnSpPr>
      <xdr:spPr bwMode="auto">
        <a:xfrm flipV="1">
          <a:off x="7266349" y="2140077"/>
          <a:ext cx="8346" cy="939044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7</xdr:col>
      <xdr:colOff>980792</xdr:colOff>
      <xdr:row>6</xdr:row>
      <xdr:rowOff>88900</xdr:rowOff>
    </xdr:from>
    <xdr:to>
      <xdr:col>7</xdr:col>
      <xdr:colOff>987425</xdr:colOff>
      <xdr:row>10</xdr:row>
      <xdr:rowOff>117884</xdr:rowOff>
    </xdr:to>
    <xdr:cxnSp macro="">
      <xdr:nvCxnSpPr>
        <xdr:cNvPr id="124" name="直線接點 123"/>
        <xdr:cNvCxnSpPr/>
      </xdr:nvCxnSpPr>
      <xdr:spPr bwMode="auto">
        <a:xfrm flipV="1">
          <a:off x="7412525" y="2140076"/>
          <a:ext cx="6633" cy="93433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8</xdr:col>
      <xdr:colOff>127314</xdr:colOff>
      <xdr:row>6</xdr:row>
      <xdr:rowOff>88900</xdr:rowOff>
    </xdr:from>
    <xdr:to>
      <xdr:col>8</xdr:col>
      <xdr:colOff>131762</xdr:colOff>
      <xdr:row>10</xdr:row>
      <xdr:rowOff>103738</xdr:rowOff>
    </xdr:to>
    <xdr:cxnSp macro="">
      <xdr:nvCxnSpPr>
        <xdr:cNvPr id="125" name="直線接點 124"/>
        <xdr:cNvCxnSpPr/>
      </xdr:nvCxnSpPr>
      <xdr:spPr bwMode="auto">
        <a:xfrm flipV="1">
          <a:off x="7558700" y="2140076"/>
          <a:ext cx="4448" cy="920184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8</xdr:col>
      <xdr:colOff>268775</xdr:colOff>
      <xdr:row>6</xdr:row>
      <xdr:rowOff>88900</xdr:rowOff>
    </xdr:from>
    <xdr:to>
      <xdr:col>8</xdr:col>
      <xdr:colOff>276225</xdr:colOff>
      <xdr:row>10</xdr:row>
      <xdr:rowOff>113169</xdr:rowOff>
    </xdr:to>
    <xdr:cxnSp macro="">
      <xdr:nvCxnSpPr>
        <xdr:cNvPr id="126" name="直線接點 125"/>
        <xdr:cNvCxnSpPr/>
      </xdr:nvCxnSpPr>
      <xdr:spPr bwMode="auto">
        <a:xfrm flipV="1">
          <a:off x="7700161" y="2140076"/>
          <a:ext cx="7450" cy="929615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8</xdr:col>
      <xdr:colOff>414951</xdr:colOff>
      <xdr:row>6</xdr:row>
      <xdr:rowOff>88900</xdr:rowOff>
    </xdr:from>
    <xdr:to>
      <xdr:col>8</xdr:col>
      <xdr:colOff>420687</xdr:colOff>
      <xdr:row>10</xdr:row>
      <xdr:rowOff>103738</xdr:rowOff>
    </xdr:to>
    <xdr:cxnSp macro="">
      <xdr:nvCxnSpPr>
        <xdr:cNvPr id="127" name="直線接點 126"/>
        <xdr:cNvCxnSpPr/>
      </xdr:nvCxnSpPr>
      <xdr:spPr bwMode="auto">
        <a:xfrm flipV="1">
          <a:off x="7846337" y="2140076"/>
          <a:ext cx="5736" cy="920184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8</xdr:col>
      <xdr:colOff>561126</xdr:colOff>
      <xdr:row>7</xdr:row>
      <xdr:rowOff>126619</xdr:rowOff>
    </xdr:from>
    <xdr:to>
      <xdr:col>8</xdr:col>
      <xdr:colOff>565152</xdr:colOff>
      <xdr:row>10</xdr:row>
      <xdr:rowOff>103738</xdr:rowOff>
    </xdr:to>
    <xdr:cxnSp macro="">
      <xdr:nvCxnSpPr>
        <xdr:cNvPr id="128" name="直線接點 127"/>
        <xdr:cNvCxnSpPr/>
      </xdr:nvCxnSpPr>
      <xdr:spPr bwMode="auto">
        <a:xfrm flipV="1">
          <a:off x="7992512" y="2404131"/>
          <a:ext cx="4026" cy="656129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8</xdr:col>
      <xdr:colOff>702587</xdr:colOff>
      <xdr:row>7</xdr:row>
      <xdr:rowOff>131341</xdr:rowOff>
    </xdr:from>
    <xdr:to>
      <xdr:col>8</xdr:col>
      <xdr:colOff>709612</xdr:colOff>
      <xdr:row>10</xdr:row>
      <xdr:rowOff>108453</xdr:rowOff>
    </xdr:to>
    <xdr:cxnSp macro="">
      <xdr:nvCxnSpPr>
        <xdr:cNvPr id="129" name="直線接點 128"/>
        <xdr:cNvCxnSpPr/>
      </xdr:nvCxnSpPr>
      <xdr:spPr bwMode="auto">
        <a:xfrm flipV="1">
          <a:off x="8133973" y="2408853"/>
          <a:ext cx="7025" cy="656122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8</xdr:col>
      <xdr:colOff>853478</xdr:colOff>
      <xdr:row>7</xdr:row>
      <xdr:rowOff>131341</xdr:rowOff>
    </xdr:from>
    <xdr:to>
      <xdr:col>8</xdr:col>
      <xdr:colOff>854075</xdr:colOff>
      <xdr:row>10</xdr:row>
      <xdr:rowOff>108453</xdr:rowOff>
    </xdr:to>
    <xdr:cxnSp macro="">
      <xdr:nvCxnSpPr>
        <xdr:cNvPr id="130" name="直線接點 129"/>
        <xdr:cNvCxnSpPr/>
      </xdr:nvCxnSpPr>
      <xdr:spPr bwMode="auto">
        <a:xfrm flipV="1">
          <a:off x="8284864" y="2408853"/>
          <a:ext cx="597" cy="656122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8</xdr:col>
      <xdr:colOff>994938</xdr:colOff>
      <xdr:row>7</xdr:row>
      <xdr:rowOff>131340</xdr:rowOff>
    </xdr:from>
    <xdr:to>
      <xdr:col>9</xdr:col>
      <xdr:colOff>2058</xdr:colOff>
      <xdr:row>10</xdr:row>
      <xdr:rowOff>99023</xdr:rowOff>
    </xdr:to>
    <xdr:cxnSp macro="">
      <xdr:nvCxnSpPr>
        <xdr:cNvPr id="131" name="直線接點 130"/>
        <xdr:cNvCxnSpPr/>
      </xdr:nvCxnSpPr>
      <xdr:spPr bwMode="auto">
        <a:xfrm flipV="1">
          <a:off x="8426324" y="2408852"/>
          <a:ext cx="6774" cy="646693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9</xdr:col>
      <xdr:colOff>141460</xdr:colOff>
      <xdr:row>7</xdr:row>
      <xdr:rowOff>131340</xdr:rowOff>
    </xdr:from>
    <xdr:to>
      <xdr:col>9</xdr:col>
      <xdr:colOff>142875</xdr:colOff>
      <xdr:row>10</xdr:row>
      <xdr:rowOff>108453</xdr:rowOff>
    </xdr:to>
    <xdr:cxnSp macro="">
      <xdr:nvCxnSpPr>
        <xdr:cNvPr id="132" name="直線接點 131"/>
        <xdr:cNvCxnSpPr/>
      </xdr:nvCxnSpPr>
      <xdr:spPr bwMode="auto">
        <a:xfrm flipV="1">
          <a:off x="8572500" y="2408852"/>
          <a:ext cx="1415" cy="656123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815748</xdr:colOff>
      <xdr:row>10</xdr:row>
      <xdr:rowOff>103741</xdr:rowOff>
    </xdr:from>
    <xdr:to>
      <xdr:col>9</xdr:col>
      <xdr:colOff>282348</xdr:colOff>
      <xdr:row>10</xdr:row>
      <xdr:rowOff>103741</xdr:rowOff>
    </xdr:to>
    <xdr:cxnSp macro="">
      <xdr:nvCxnSpPr>
        <xdr:cNvPr id="137" name="直線接點 136"/>
        <xdr:cNvCxnSpPr/>
      </xdr:nvCxnSpPr>
      <xdr:spPr bwMode="auto">
        <a:xfrm>
          <a:off x="5248174" y="3060263"/>
          <a:ext cx="3465214" cy="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866046</xdr:colOff>
      <xdr:row>18</xdr:row>
      <xdr:rowOff>123920</xdr:rowOff>
    </xdr:from>
    <xdr:to>
      <xdr:col>9</xdr:col>
      <xdr:colOff>228170</xdr:colOff>
      <xdr:row>18</xdr:row>
      <xdr:rowOff>123920</xdr:rowOff>
    </xdr:to>
    <xdr:cxnSp macro="">
      <xdr:nvCxnSpPr>
        <xdr:cNvPr id="182" name="直線接點 181"/>
        <xdr:cNvCxnSpPr/>
      </xdr:nvCxnSpPr>
      <xdr:spPr bwMode="auto">
        <a:xfrm>
          <a:off x="5298472" y="4891135"/>
          <a:ext cx="3360738" cy="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866046</xdr:colOff>
      <xdr:row>17</xdr:row>
      <xdr:rowOff>86731</xdr:rowOff>
    </xdr:from>
    <xdr:to>
      <xdr:col>9</xdr:col>
      <xdr:colOff>228170</xdr:colOff>
      <xdr:row>17</xdr:row>
      <xdr:rowOff>86731</xdr:rowOff>
    </xdr:to>
    <xdr:cxnSp macro="">
      <xdr:nvCxnSpPr>
        <xdr:cNvPr id="183" name="直線接點 182"/>
        <xdr:cNvCxnSpPr/>
      </xdr:nvCxnSpPr>
      <xdr:spPr bwMode="auto">
        <a:xfrm>
          <a:off x="5298472" y="4627610"/>
          <a:ext cx="3360738" cy="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866046</xdr:colOff>
      <xdr:row>16</xdr:row>
      <xdr:rowOff>49543</xdr:rowOff>
    </xdr:from>
    <xdr:to>
      <xdr:col>9</xdr:col>
      <xdr:colOff>228170</xdr:colOff>
      <xdr:row>16</xdr:row>
      <xdr:rowOff>49543</xdr:rowOff>
    </xdr:to>
    <xdr:cxnSp macro="">
      <xdr:nvCxnSpPr>
        <xdr:cNvPr id="184" name="直線接點 183"/>
        <xdr:cNvCxnSpPr/>
      </xdr:nvCxnSpPr>
      <xdr:spPr bwMode="auto">
        <a:xfrm>
          <a:off x="5298472" y="4364085"/>
          <a:ext cx="3360738" cy="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866046</xdr:colOff>
      <xdr:row>15</xdr:row>
      <xdr:rowOff>12355</xdr:rowOff>
    </xdr:from>
    <xdr:to>
      <xdr:col>9</xdr:col>
      <xdr:colOff>228170</xdr:colOff>
      <xdr:row>15</xdr:row>
      <xdr:rowOff>12355</xdr:rowOff>
    </xdr:to>
    <xdr:cxnSp macro="">
      <xdr:nvCxnSpPr>
        <xdr:cNvPr id="185" name="直線接點 184"/>
        <xdr:cNvCxnSpPr/>
      </xdr:nvCxnSpPr>
      <xdr:spPr bwMode="auto">
        <a:xfrm>
          <a:off x="5298472" y="4100560"/>
          <a:ext cx="3360738" cy="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866046</xdr:colOff>
      <xdr:row>13</xdr:row>
      <xdr:rowOff>201503</xdr:rowOff>
    </xdr:from>
    <xdr:to>
      <xdr:col>9</xdr:col>
      <xdr:colOff>228170</xdr:colOff>
      <xdr:row>13</xdr:row>
      <xdr:rowOff>201503</xdr:rowOff>
    </xdr:to>
    <xdr:cxnSp macro="">
      <xdr:nvCxnSpPr>
        <xdr:cNvPr id="186" name="直線接點 185"/>
        <xdr:cNvCxnSpPr/>
      </xdr:nvCxnSpPr>
      <xdr:spPr bwMode="auto">
        <a:xfrm>
          <a:off x="5298472" y="3837035"/>
          <a:ext cx="3360738" cy="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866046</xdr:colOff>
      <xdr:row>12</xdr:row>
      <xdr:rowOff>164314</xdr:rowOff>
    </xdr:from>
    <xdr:to>
      <xdr:col>9</xdr:col>
      <xdr:colOff>228170</xdr:colOff>
      <xdr:row>12</xdr:row>
      <xdr:rowOff>164314</xdr:rowOff>
    </xdr:to>
    <xdr:cxnSp macro="">
      <xdr:nvCxnSpPr>
        <xdr:cNvPr id="187" name="直線接點 186"/>
        <xdr:cNvCxnSpPr/>
      </xdr:nvCxnSpPr>
      <xdr:spPr bwMode="auto">
        <a:xfrm>
          <a:off x="5298472" y="3573510"/>
          <a:ext cx="3360738" cy="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866046</xdr:colOff>
      <xdr:row>11</xdr:row>
      <xdr:rowOff>127126</xdr:rowOff>
    </xdr:from>
    <xdr:to>
      <xdr:col>9</xdr:col>
      <xdr:colOff>228170</xdr:colOff>
      <xdr:row>11</xdr:row>
      <xdr:rowOff>127126</xdr:rowOff>
    </xdr:to>
    <xdr:cxnSp macro="">
      <xdr:nvCxnSpPr>
        <xdr:cNvPr id="188" name="直線接點 187"/>
        <xdr:cNvCxnSpPr/>
      </xdr:nvCxnSpPr>
      <xdr:spPr bwMode="auto">
        <a:xfrm>
          <a:off x="5298472" y="3309985"/>
          <a:ext cx="3360738" cy="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863917</xdr:colOff>
      <xdr:row>10</xdr:row>
      <xdr:rowOff>99029</xdr:rowOff>
    </xdr:from>
    <xdr:to>
      <xdr:col>5</xdr:col>
      <xdr:colOff>872368</xdr:colOff>
      <xdr:row>19</xdr:row>
      <xdr:rowOff>9197</xdr:rowOff>
    </xdr:to>
    <xdr:cxnSp macro="">
      <xdr:nvCxnSpPr>
        <xdr:cNvPr id="193" name="直線接點 192"/>
        <xdr:cNvCxnSpPr>
          <a:stCxn id="67" idx="1"/>
        </xdr:cNvCxnSpPr>
      </xdr:nvCxnSpPr>
      <xdr:spPr bwMode="auto">
        <a:xfrm flipV="1">
          <a:off x="5291880" y="3063395"/>
          <a:ext cx="8451" cy="1959204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6</xdr:col>
      <xdr:colOff>48927</xdr:colOff>
      <xdr:row>10</xdr:row>
      <xdr:rowOff>99029</xdr:rowOff>
    </xdr:from>
    <xdr:to>
      <xdr:col>6</xdr:col>
      <xdr:colOff>65049</xdr:colOff>
      <xdr:row>18</xdr:row>
      <xdr:rowOff>130097</xdr:rowOff>
    </xdr:to>
    <xdr:cxnSp macro="">
      <xdr:nvCxnSpPr>
        <xdr:cNvPr id="194" name="直線接點 193"/>
        <xdr:cNvCxnSpPr/>
      </xdr:nvCxnSpPr>
      <xdr:spPr bwMode="auto">
        <a:xfrm flipH="1" flipV="1">
          <a:off x="5475854" y="3063395"/>
          <a:ext cx="16122" cy="1852434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6</xdr:col>
      <xdr:colOff>225140</xdr:colOff>
      <xdr:row>10</xdr:row>
      <xdr:rowOff>99029</xdr:rowOff>
    </xdr:from>
    <xdr:to>
      <xdr:col>6</xdr:col>
      <xdr:colOff>227671</xdr:colOff>
      <xdr:row>18</xdr:row>
      <xdr:rowOff>111512</xdr:rowOff>
    </xdr:to>
    <xdr:cxnSp macro="">
      <xdr:nvCxnSpPr>
        <xdr:cNvPr id="195" name="直線接點 194"/>
        <xdr:cNvCxnSpPr/>
      </xdr:nvCxnSpPr>
      <xdr:spPr bwMode="auto">
        <a:xfrm flipH="1" flipV="1">
          <a:off x="5652067" y="3063395"/>
          <a:ext cx="2531" cy="1833849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6</xdr:col>
      <xdr:colOff>399585</xdr:colOff>
      <xdr:row>10</xdr:row>
      <xdr:rowOff>99029</xdr:rowOff>
    </xdr:from>
    <xdr:to>
      <xdr:col>6</xdr:col>
      <xdr:colOff>401352</xdr:colOff>
      <xdr:row>18</xdr:row>
      <xdr:rowOff>102219</xdr:rowOff>
    </xdr:to>
    <xdr:cxnSp macro="">
      <xdr:nvCxnSpPr>
        <xdr:cNvPr id="196" name="直線接點 195"/>
        <xdr:cNvCxnSpPr/>
      </xdr:nvCxnSpPr>
      <xdr:spPr bwMode="auto">
        <a:xfrm flipV="1">
          <a:off x="5826512" y="3063395"/>
          <a:ext cx="1767" cy="1824556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6</xdr:col>
      <xdr:colOff>577565</xdr:colOff>
      <xdr:row>10</xdr:row>
      <xdr:rowOff>99029</xdr:rowOff>
    </xdr:from>
    <xdr:to>
      <xdr:col>6</xdr:col>
      <xdr:colOff>585439</xdr:colOff>
      <xdr:row>18</xdr:row>
      <xdr:rowOff>111512</xdr:rowOff>
    </xdr:to>
    <xdr:cxnSp macro="">
      <xdr:nvCxnSpPr>
        <xdr:cNvPr id="197" name="直線接點 196"/>
        <xdr:cNvCxnSpPr/>
      </xdr:nvCxnSpPr>
      <xdr:spPr bwMode="auto">
        <a:xfrm flipH="1" flipV="1">
          <a:off x="6004492" y="3063395"/>
          <a:ext cx="7874" cy="1833849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6</xdr:col>
      <xdr:colOff>748061</xdr:colOff>
      <xdr:row>10</xdr:row>
      <xdr:rowOff>99029</xdr:rowOff>
    </xdr:from>
    <xdr:to>
      <xdr:col>6</xdr:col>
      <xdr:colOff>753777</xdr:colOff>
      <xdr:row>18</xdr:row>
      <xdr:rowOff>125451</xdr:rowOff>
    </xdr:to>
    <xdr:cxnSp macro="">
      <xdr:nvCxnSpPr>
        <xdr:cNvPr id="198" name="直線接點 197"/>
        <xdr:cNvCxnSpPr/>
      </xdr:nvCxnSpPr>
      <xdr:spPr bwMode="auto">
        <a:xfrm flipV="1">
          <a:off x="6174988" y="3063395"/>
          <a:ext cx="5716" cy="1847788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6</xdr:col>
      <xdr:colOff>933165</xdr:colOff>
      <xdr:row>10</xdr:row>
      <xdr:rowOff>99029</xdr:rowOff>
    </xdr:from>
    <xdr:to>
      <xdr:col>6</xdr:col>
      <xdr:colOff>933914</xdr:colOff>
      <xdr:row>18</xdr:row>
      <xdr:rowOff>120805</xdr:rowOff>
    </xdr:to>
    <xdr:cxnSp macro="">
      <xdr:nvCxnSpPr>
        <xdr:cNvPr id="199" name="直線接點 198"/>
        <xdr:cNvCxnSpPr/>
      </xdr:nvCxnSpPr>
      <xdr:spPr bwMode="auto">
        <a:xfrm flipH="1" flipV="1">
          <a:off x="6360092" y="3063395"/>
          <a:ext cx="749" cy="1843142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7</xdr:col>
      <xdr:colOff>109723</xdr:colOff>
      <xdr:row>10</xdr:row>
      <xdr:rowOff>99029</xdr:rowOff>
    </xdr:from>
    <xdr:to>
      <xdr:col>7</xdr:col>
      <xdr:colOff>116159</xdr:colOff>
      <xdr:row>18</xdr:row>
      <xdr:rowOff>120805</xdr:rowOff>
    </xdr:to>
    <xdr:cxnSp macro="">
      <xdr:nvCxnSpPr>
        <xdr:cNvPr id="200" name="直線接點 199"/>
        <xdr:cNvCxnSpPr/>
      </xdr:nvCxnSpPr>
      <xdr:spPr bwMode="auto">
        <a:xfrm flipH="1" flipV="1">
          <a:off x="6535613" y="3063395"/>
          <a:ext cx="6436" cy="1843142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7</xdr:col>
      <xdr:colOff>283427</xdr:colOff>
      <xdr:row>10</xdr:row>
      <xdr:rowOff>99030</xdr:rowOff>
    </xdr:from>
    <xdr:to>
      <xdr:col>7</xdr:col>
      <xdr:colOff>285936</xdr:colOff>
      <xdr:row>18</xdr:row>
      <xdr:rowOff>116158</xdr:rowOff>
    </xdr:to>
    <xdr:cxnSp macro="">
      <xdr:nvCxnSpPr>
        <xdr:cNvPr id="201" name="直線接點 200"/>
        <xdr:cNvCxnSpPr/>
      </xdr:nvCxnSpPr>
      <xdr:spPr bwMode="auto">
        <a:xfrm flipV="1">
          <a:off x="6709317" y="3063396"/>
          <a:ext cx="2509" cy="1838494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7</xdr:col>
      <xdr:colOff>459988</xdr:colOff>
      <xdr:row>10</xdr:row>
      <xdr:rowOff>99029</xdr:rowOff>
    </xdr:from>
    <xdr:to>
      <xdr:col>7</xdr:col>
      <xdr:colOff>462148</xdr:colOff>
      <xdr:row>18</xdr:row>
      <xdr:rowOff>125451</xdr:rowOff>
    </xdr:to>
    <xdr:cxnSp macro="">
      <xdr:nvCxnSpPr>
        <xdr:cNvPr id="202" name="直線接點 201"/>
        <xdr:cNvCxnSpPr/>
      </xdr:nvCxnSpPr>
      <xdr:spPr bwMode="auto">
        <a:xfrm flipV="1">
          <a:off x="6885878" y="3063395"/>
          <a:ext cx="2160" cy="1847788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7</xdr:col>
      <xdr:colOff>638361</xdr:colOff>
      <xdr:row>10</xdr:row>
      <xdr:rowOff>99029</xdr:rowOff>
    </xdr:from>
    <xdr:to>
      <xdr:col>7</xdr:col>
      <xdr:colOff>645842</xdr:colOff>
      <xdr:row>18</xdr:row>
      <xdr:rowOff>148683</xdr:rowOff>
    </xdr:to>
    <xdr:cxnSp macro="">
      <xdr:nvCxnSpPr>
        <xdr:cNvPr id="203" name="直線接點 202"/>
        <xdr:cNvCxnSpPr/>
      </xdr:nvCxnSpPr>
      <xdr:spPr bwMode="auto">
        <a:xfrm flipH="1" flipV="1">
          <a:off x="7064251" y="3063395"/>
          <a:ext cx="7481" cy="187102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7</xdr:col>
      <xdr:colOff>814573</xdr:colOff>
      <xdr:row>10</xdr:row>
      <xdr:rowOff>99029</xdr:rowOff>
    </xdr:from>
    <xdr:to>
      <xdr:col>7</xdr:col>
      <xdr:colOff>825183</xdr:colOff>
      <xdr:row>18</xdr:row>
      <xdr:rowOff>137795</xdr:rowOff>
    </xdr:to>
    <xdr:cxnSp macro="">
      <xdr:nvCxnSpPr>
        <xdr:cNvPr id="204" name="直線接點 203"/>
        <xdr:cNvCxnSpPr>
          <a:stCxn id="61" idx="0"/>
        </xdr:cNvCxnSpPr>
      </xdr:nvCxnSpPr>
      <xdr:spPr bwMode="auto">
        <a:xfrm flipH="1" flipV="1">
          <a:off x="7240463" y="3063395"/>
          <a:ext cx="10610" cy="1860132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7</xdr:col>
      <xdr:colOff>989671</xdr:colOff>
      <xdr:row>10</xdr:row>
      <xdr:rowOff>99029</xdr:rowOff>
    </xdr:from>
    <xdr:to>
      <xdr:col>7</xdr:col>
      <xdr:colOff>993961</xdr:colOff>
      <xdr:row>18</xdr:row>
      <xdr:rowOff>130097</xdr:rowOff>
    </xdr:to>
    <xdr:cxnSp macro="">
      <xdr:nvCxnSpPr>
        <xdr:cNvPr id="205" name="直線接點 204"/>
        <xdr:cNvCxnSpPr/>
      </xdr:nvCxnSpPr>
      <xdr:spPr bwMode="auto">
        <a:xfrm flipV="1">
          <a:off x="7415561" y="3063395"/>
          <a:ext cx="4290" cy="1852434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8</xdr:col>
      <xdr:colOff>153329</xdr:colOff>
      <xdr:row>10</xdr:row>
      <xdr:rowOff>99029</xdr:rowOff>
    </xdr:from>
    <xdr:to>
      <xdr:col>8</xdr:col>
      <xdr:colOff>170520</xdr:colOff>
      <xdr:row>18</xdr:row>
      <xdr:rowOff>130097</xdr:rowOff>
    </xdr:to>
    <xdr:cxnSp macro="">
      <xdr:nvCxnSpPr>
        <xdr:cNvPr id="206" name="直線接點 205"/>
        <xdr:cNvCxnSpPr/>
      </xdr:nvCxnSpPr>
      <xdr:spPr bwMode="auto">
        <a:xfrm flipV="1">
          <a:off x="7578183" y="3063395"/>
          <a:ext cx="17191" cy="1852434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8</xdr:col>
      <xdr:colOff>346733</xdr:colOff>
      <xdr:row>10</xdr:row>
      <xdr:rowOff>99029</xdr:rowOff>
    </xdr:from>
    <xdr:to>
      <xdr:col>8</xdr:col>
      <xdr:colOff>362414</xdr:colOff>
      <xdr:row>18</xdr:row>
      <xdr:rowOff>116158</xdr:rowOff>
    </xdr:to>
    <xdr:cxnSp macro="">
      <xdr:nvCxnSpPr>
        <xdr:cNvPr id="207" name="直線接點 206"/>
        <xdr:cNvCxnSpPr/>
      </xdr:nvCxnSpPr>
      <xdr:spPr bwMode="auto">
        <a:xfrm flipH="1" flipV="1">
          <a:off x="7771587" y="3063395"/>
          <a:ext cx="15681" cy="1838495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8</xdr:col>
      <xdr:colOff>501805</xdr:colOff>
      <xdr:row>10</xdr:row>
      <xdr:rowOff>99029</xdr:rowOff>
    </xdr:from>
    <xdr:to>
      <xdr:col>8</xdr:col>
      <xdr:colOff>522945</xdr:colOff>
      <xdr:row>20</xdr:row>
      <xdr:rowOff>190500</xdr:rowOff>
    </xdr:to>
    <xdr:cxnSp macro="">
      <xdr:nvCxnSpPr>
        <xdr:cNvPr id="208" name="直線接點 207"/>
        <xdr:cNvCxnSpPr/>
      </xdr:nvCxnSpPr>
      <xdr:spPr bwMode="auto">
        <a:xfrm flipV="1">
          <a:off x="7926659" y="3063395"/>
          <a:ext cx="21140" cy="2368178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8</xdr:col>
      <xdr:colOff>687658</xdr:colOff>
      <xdr:row>10</xdr:row>
      <xdr:rowOff>99031</xdr:rowOff>
    </xdr:from>
    <xdr:to>
      <xdr:col>8</xdr:col>
      <xdr:colOff>699158</xdr:colOff>
      <xdr:row>19</xdr:row>
      <xdr:rowOff>171915</xdr:rowOff>
    </xdr:to>
    <xdr:cxnSp macro="">
      <xdr:nvCxnSpPr>
        <xdr:cNvPr id="209" name="直線接點 208"/>
        <xdr:cNvCxnSpPr/>
      </xdr:nvCxnSpPr>
      <xdr:spPr bwMode="auto">
        <a:xfrm flipV="1">
          <a:off x="8112512" y="3063397"/>
          <a:ext cx="11500" cy="212192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8</xdr:col>
      <xdr:colOff>868866</xdr:colOff>
      <xdr:row>10</xdr:row>
      <xdr:rowOff>99029</xdr:rowOff>
    </xdr:from>
    <xdr:to>
      <xdr:col>8</xdr:col>
      <xdr:colOff>878545</xdr:colOff>
      <xdr:row>19</xdr:row>
      <xdr:rowOff>157976</xdr:rowOff>
    </xdr:to>
    <xdr:cxnSp macro="">
      <xdr:nvCxnSpPr>
        <xdr:cNvPr id="210" name="直線接點 209"/>
        <xdr:cNvCxnSpPr/>
      </xdr:nvCxnSpPr>
      <xdr:spPr bwMode="auto">
        <a:xfrm flipV="1">
          <a:off x="8293720" y="3063395"/>
          <a:ext cx="9679" cy="2107983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9</xdr:col>
      <xdr:colOff>51110</xdr:colOff>
      <xdr:row>10</xdr:row>
      <xdr:rowOff>94309</xdr:rowOff>
    </xdr:from>
    <xdr:to>
      <xdr:col>9</xdr:col>
      <xdr:colOff>61295</xdr:colOff>
      <xdr:row>19</xdr:row>
      <xdr:rowOff>153330</xdr:rowOff>
    </xdr:to>
    <xdr:cxnSp macro="">
      <xdr:nvCxnSpPr>
        <xdr:cNvPr id="211" name="直線接點 210"/>
        <xdr:cNvCxnSpPr/>
      </xdr:nvCxnSpPr>
      <xdr:spPr bwMode="auto">
        <a:xfrm flipV="1">
          <a:off x="8474927" y="3058675"/>
          <a:ext cx="10185" cy="2108057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9</xdr:col>
      <xdr:colOff>223024</xdr:colOff>
      <xdr:row>10</xdr:row>
      <xdr:rowOff>106876</xdr:rowOff>
    </xdr:from>
    <xdr:to>
      <xdr:col>9</xdr:col>
      <xdr:colOff>232317</xdr:colOff>
      <xdr:row>19</xdr:row>
      <xdr:rowOff>153330</xdr:rowOff>
    </xdr:to>
    <xdr:cxnSp macro="">
      <xdr:nvCxnSpPr>
        <xdr:cNvPr id="212" name="直線接點 211"/>
        <xdr:cNvCxnSpPr/>
      </xdr:nvCxnSpPr>
      <xdr:spPr bwMode="auto">
        <a:xfrm flipV="1">
          <a:off x="8646841" y="3071242"/>
          <a:ext cx="9293" cy="209549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8</xdr:col>
      <xdr:colOff>181207</xdr:colOff>
      <xdr:row>19</xdr:row>
      <xdr:rowOff>157975</xdr:rowOff>
    </xdr:from>
    <xdr:to>
      <xdr:col>9</xdr:col>
      <xdr:colOff>227671</xdr:colOff>
      <xdr:row>19</xdr:row>
      <xdr:rowOff>162622</xdr:rowOff>
    </xdr:to>
    <xdr:cxnSp macro="">
      <xdr:nvCxnSpPr>
        <xdr:cNvPr id="238" name="直線接點 237"/>
        <xdr:cNvCxnSpPr/>
      </xdr:nvCxnSpPr>
      <xdr:spPr bwMode="auto">
        <a:xfrm>
          <a:off x="7606061" y="5171377"/>
          <a:ext cx="1045427" cy="4647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 editAs="oneCell">
    <xdr:from>
      <xdr:col>10</xdr:col>
      <xdr:colOff>25400</xdr:colOff>
      <xdr:row>3</xdr:row>
      <xdr:rowOff>63500</xdr:rowOff>
    </xdr:from>
    <xdr:to>
      <xdr:col>24</xdr:col>
      <xdr:colOff>456057</xdr:colOff>
      <xdr:row>34</xdr:row>
      <xdr:rowOff>34043</xdr:rowOff>
    </xdr:to>
    <xdr:pic>
      <xdr:nvPicPr>
        <xdr:cNvPr id="388" name="圖片 387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486900" y="1435100"/>
          <a:ext cx="9142857" cy="705714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800100</xdr:colOff>
      <xdr:row>0</xdr:row>
      <xdr:rowOff>114300</xdr:rowOff>
    </xdr:from>
    <xdr:to>
      <xdr:col>11</xdr:col>
      <xdr:colOff>1536700</xdr:colOff>
      <xdr:row>0</xdr:row>
      <xdr:rowOff>605318</xdr:rowOff>
    </xdr:to>
    <xdr:pic>
      <xdr:nvPicPr>
        <xdr:cNvPr id="3" name="圖片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8500" y="114300"/>
          <a:ext cx="5257800" cy="491018"/>
        </a:xfrm>
        <a:prstGeom prst="rect">
          <a:avLst/>
        </a:prstGeom>
      </xdr:spPr>
    </xdr:pic>
    <xdr:clientData/>
  </xdr:twoCellAnchor>
  <xdr:twoCellAnchor>
    <xdr:from>
      <xdr:col>2</xdr:col>
      <xdr:colOff>82550</xdr:colOff>
      <xdr:row>7</xdr:row>
      <xdr:rowOff>206375</xdr:rowOff>
    </xdr:from>
    <xdr:to>
      <xdr:col>2</xdr:col>
      <xdr:colOff>82550</xdr:colOff>
      <xdr:row>16</xdr:row>
      <xdr:rowOff>79375</xdr:rowOff>
    </xdr:to>
    <xdr:cxnSp macro="">
      <xdr:nvCxnSpPr>
        <xdr:cNvPr id="4" name="直線接點 3"/>
        <xdr:cNvCxnSpPr/>
      </xdr:nvCxnSpPr>
      <xdr:spPr bwMode="auto">
        <a:xfrm flipV="1">
          <a:off x="177800" y="1701800"/>
          <a:ext cx="0" cy="193040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</xdr:col>
      <xdr:colOff>82550</xdr:colOff>
      <xdr:row>16</xdr:row>
      <xdr:rowOff>79375</xdr:rowOff>
    </xdr:from>
    <xdr:to>
      <xdr:col>3</xdr:col>
      <xdr:colOff>1203325</xdr:colOff>
      <xdr:row>16</xdr:row>
      <xdr:rowOff>79375</xdr:rowOff>
    </xdr:to>
    <xdr:cxnSp macro="">
      <xdr:nvCxnSpPr>
        <xdr:cNvPr id="5" name="直線接點 4"/>
        <xdr:cNvCxnSpPr/>
      </xdr:nvCxnSpPr>
      <xdr:spPr bwMode="auto">
        <a:xfrm>
          <a:off x="177800" y="3632200"/>
          <a:ext cx="1930400" cy="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1203325</xdr:colOff>
      <xdr:row>7</xdr:row>
      <xdr:rowOff>206375</xdr:rowOff>
    </xdr:from>
    <xdr:to>
      <xdr:col>3</xdr:col>
      <xdr:colOff>1203325</xdr:colOff>
      <xdr:row>16</xdr:row>
      <xdr:rowOff>79375</xdr:rowOff>
    </xdr:to>
    <xdr:cxnSp macro="">
      <xdr:nvCxnSpPr>
        <xdr:cNvPr id="6" name="直線接點 5"/>
        <xdr:cNvCxnSpPr/>
      </xdr:nvCxnSpPr>
      <xdr:spPr bwMode="auto">
        <a:xfrm>
          <a:off x="2108200" y="1701800"/>
          <a:ext cx="0" cy="193040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</xdr:col>
      <xdr:colOff>82550</xdr:colOff>
      <xdr:row>7</xdr:row>
      <xdr:rowOff>206375</xdr:rowOff>
    </xdr:from>
    <xdr:to>
      <xdr:col>3</xdr:col>
      <xdr:colOff>1203325</xdr:colOff>
      <xdr:row>7</xdr:row>
      <xdr:rowOff>206375</xdr:rowOff>
    </xdr:to>
    <xdr:cxnSp macro="">
      <xdr:nvCxnSpPr>
        <xdr:cNvPr id="7" name="直線接點 6"/>
        <xdr:cNvCxnSpPr/>
      </xdr:nvCxnSpPr>
      <xdr:spPr bwMode="auto">
        <a:xfrm flipH="1">
          <a:off x="177800" y="1701800"/>
          <a:ext cx="1930400" cy="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oneCellAnchor>
    <xdr:from>
      <xdr:col>3</xdr:col>
      <xdr:colOff>174625</xdr:colOff>
      <xdr:row>11</xdr:row>
      <xdr:rowOff>130175</xdr:rowOff>
    </xdr:from>
    <xdr:ext cx="295017" cy="274627"/>
    <xdr:sp macro="" textlink="">
      <xdr:nvSpPr>
        <xdr:cNvPr id="8" name="文字方塊 7"/>
        <xdr:cNvSpPr txBox="1"/>
      </xdr:nvSpPr>
      <xdr:spPr>
        <a:xfrm>
          <a:off x="1079500" y="2540000"/>
          <a:ext cx="295017" cy="2746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horz" wrap="none" rtlCol="0" anchor="t">
          <a:spAutoFit/>
        </a:bodyPr>
        <a:lstStyle/>
        <a:p>
          <a:r>
            <a:rPr lang="en-US" altLang="zh-TW" sz="1200" b="0" i="0" u="none" strike="noStrike" baseline="0">
              <a:solidFill>
                <a:srgbClr val="000000"/>
              </a:solidFill>
              <a:latin typeface="Arial" panose="020B0604020202020204" pitchFamily="34" charset="0"/>
            </a:rPr>
            <a:t>f</a:t>
          </a:r>
          <a:r>
            <a:rPr lang="en-US" altLang="zh-TW" sz="1100"/>
            <a:t>a</a:t>
          </a:r>
          <a:endParaRPr lang="zh-TW" altLang="en-US" sz="1100"/>
        </a:p>
      </xdr:txBody>
    </xdr:sp>
    <xdr:clientData/>
  </xdr:oneCellAnchor>
  <xdr:twoCellAnchor>
    <xdr:from>
      <xdr:col>2</xdr:col>
      <xdr:colOff>354330</xdr:colOff>
      <xdr:row>9</xdr:row>
      <xdr:rowOff>54610</xdr:rowOff>
    </xdr:from>
    <xdr:to>
      <xdr:col>2</xdr:col>
      <xdr:colOff>354330</xdr:colOff>
      <xdr:row>15</xdr:row>
      <xdr:rowOff>2540</xdr:rowOff>
    </xdr:to>
    <xdr:cxnSp macro="">
      <xdr:nvCxnSpPr>
        <xdr:cNvPr id="9" name="直線接點 8"/>
        <xdr:cNvCxnSpPr/>
      </xdr:nvCxnSpPr>
      <xdr:spPr bwMode="auto">
        <a:xfrm flipV="1">
          <a:off x="449580" y="2007235"/>
          <a:ext cx="0" cy="1319530"/>
        </a:xfrm>
        <a:prstGeom prst="line">
          <a:avLst/>
        </a:prstGeom>
        <a:solidFill>
          <a:srgbClr val="FFFFFF"/>
        </a:solidFill>
        <a:ln w="25400" cap="flat" cmpd="sng" algn="ctr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931545</xdr:colOff>
      <xdr:row>9</xdr:row>
      <xdr:rowOff>54610</xdr:rowOff>
    </xdr:from>
    <xdr:to>
      <xdr:col>3</xdr:col>
      <xdr:colOff>931545</xdr:colOff>
      <xdr:row>15</xdr:row>
      <xdr:rowOff>2540</xdr:rowOff>
    </xdr:to>
    <xdr:cxnSp macro="">
      <xdr:nvCxnSpPr>
        <xdr:cNvPr id="10" name="直線接點 9"/>
        <xdr:cNvCxnSpPr/>
      </xdr:nvCxnSpPr>
      <xdr:spPr bwMode="auto">
        <a:xfrm flipV="1">
          <a:off x="1836420" y="2007235"/>
          <a:ext cx="0" cy="1319530"/>
        </a:xfrm>
        <a:prstGeom prst="line">
          <a:avLst/>
        </a:prstGeom>
        <a:solidFill>
          <a:srgbClr val="FFFFFF"/>
        </a:solidFill>
        <a:ln w="25400" cap="flat" cmpd="sng" algn="ctr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</xdr:col>
      <xdr:colOff>354330</xdr:colOff>
      <xdr:row>15</xdr:row>
      <xdr:rowOff>2540</xdr:rowOff>
    </xdr:from>
    <xdr:to>
      <xdr:col>3</xdr:col>
      <xdr:colOff>931545</xdr:colOff>
      <xdr:row>15</xdr:row>
      <xdr:rowOff>2540</xdr:rowOff>
    </xdr:to>
    <xdr:cxnSp macro="">
      <xdr:nvCxnSpPr>
        <xdr:cNvPr id="11" name="直線接點 10"/>
        <xdr:cNvCxnSpPr/>
      </xdr:nvCxnSpPr>
      <xdr:spPr bwMode="auto">
        <a:xfrm>
          <a:off x="449580" y="3326765"/>
          <a:ext cx="1386840" cy="0"/>
        </a:xfrm>
        <a:prstGeom prst="line">
          <a:avLst/>
        </a:prstGeom>
        <a:solidFill>
          <a:srgbClr val="FFFFFF"/>
        </a:solidFill>
        <a:ln w="25400" cap="flat" cmpd="sng" algn="ctr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</xdr:col>
      <xdr:colOff>354330</xdr:colOff>
      <xdr:row>9</xdr:row>
      <xdr:rowOff>54610</xdr:rowOff>
    </xdr:from>
    <xdr:to>
      <xdr:col>3</xdr:col>
      <xdr:colOff>931545</xdr:colOff>
      <xdr:row>9</xdr:row>
      <xdr:rowOff>54610</xdr:rowOff>
    </xdr:to>
    <xdr:cxnSp macro="">
      <xdr:nvCxnSpPr>
        <xdr:cNvPr id="12" name="直線接點 11"/>
        <xdr:cNvCxnSpPr/>
      </xdr:nvCxnSpPr>
      <xdr:spPr bwMode="auto">
        <a:xfrm>
          <a:off x="449580" y="2007235"/>
          <a:ext cx="1386840" cy="0"/>
        </a:xfrm>
        <a:prstGeom prst="line">
          <a:avLst/>
        </a:prstGeom>
        <a:solidFill>
          <a:srgbClr val="FFFFFF"/>
        </a:solidFill>
        <a:ln w="25400" cap="flat" cmpd="sng" algn="ctr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6</xdr:col>
      <xdr:colOff>133350</xdr:colOff>
      <xdr:row>7</xdr:row>
      <xdr:rowOff>206375</xdr:rowOff>
    </xdr:from>
    <xdr:to>
      <xdr:col>6</xdr:col>
      <xdr:colOff>133350</xdr:colOff>
      <xdr:row>16</xdr:row>
      <xdr:rowOff>79375</xdr:rowOff>
    </xdr:to>
    <xdr:cxnSp macro="">
      <xdr:nvCxnSpPr>
        <xdr:cNvPr id="13" name="直線接點 12"/>
        <xdr:cNvCxnSpPr/>
      </xdr:nvCxnSpPr>
      <xdr:spPr bwMode="auto">
        <a:xfrm flipV="1">
          <a:off x="3924300" y="1701800"/>
          <a:ext cx="0" cy="193040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6</xdr:col>
      <xdr:colOff>133350</xdr:colOff>
      <xdr:row>16</xdr:row>
      <xdr:rowOff>79375</xdr:rowOff>
    </xdr:from>
    <xdr:to>
      <xdr:col>7</xdr:col>
      <xdr:colOff>1254125</xdr:colOff>
      <xdr:row>16</xdr:row>
      <xdr:rowOff>79375</xdr:rowOff>
    </xdr:to>
    <xdr:cxnSp macro="">
      <xdr:nvCxnSpPr>
        <xdr:cNvPr id="14" name="直線接點 13"/>
        <xdr:cNvCxnSpPr/>
      </xdr:nvCxnSpPr>
      <xdr:spPr bwMode="auto">
        <a:xfrm>
          <a:off x="3924300" y="3632200"/>
          <a:ext cx="1930400" cy="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7</xdr:col>
      <xdr:colOff>1254125</xdr:colOff>
      <xdr:row>7</xdr:row>
      <xdr:rowOff>206375</xdr:rowOff>
    </xdr:from>
    <xdr:to>
      <xdr:col>7</xdr:col>
      <xdr:colOff>1254125</xdr:colOff>
      <xdr:row>16</xdr:row>
      <xdr:rowOff>79375</xdr:rowOff>
    </xdr:to>
    <xdr:cxnSp macro="">
      <xdr:nvCxnSpPr>
        <xdr:cNvPr id="15" name="直線接點 14"/>
        <xdr:cNvCxnSpPr/>
      </xdr:nvCxnSpPr>
      <xdr:spPr bwMode="auto">
        <a:xfrm>
          <a:off x="5854700" y="1701800"/>
          <a:ext cx="0" cy="193040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6</xdr:col>
      <xdr:colOff>133350</xdr:colOff>
      <xdr:row>7</xdr:row>
      <xdr:rowOff>206375</xdr:rowOff>
    </xdr:from>
    <xdr:to>
      <xdr:col>7</xdr:col>
      <xdr:colOff>1254125</xdr:colOff>
      <xdr:row>7</xdr:row>
      <xdr:rowOff>206375</xdr:rowOff>
    </xdr:to>
    <xdr:cxnSp macro="">
      <xdr:nvCxnSpPr>
        <xdr:cNvPr id="16" name="直線接點 15"/>
        <xdr:cNvCxnSpPr/>
      </xdr:nvCxnSpPr>
      <xdr:spPr bwMode="auto">
        <a:xfrm flipH="1">
          <a:off x="3924300" y="1701800"/>
          <a:ext cx="1930400" cy="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oneCellAnchor>
    <xdr:from>
      <xdr:col>7</xdr:col>
      <xdr:colOff>225425</xdr:colOff>
      <xdr:row>11</xdr:row>
      <xdr:rowOff>130175</xdr:rowOff>
    </xdr:from>
    <xdr:ext cx="295017" cy="274627"/>
    <xdr:sp macro="" textlink="">
      <xdr:nvSpPr>
        <xdr:cNvPr id="17" name="文字方塊 16"/>
        <xdr:cNvSpPr txBox="1"/>
      </xdr:nvSpPr>
      <xdr:spPr>
        <a:xfrm>
          <a:off x="4826000" y="2540000"/>
          <a:ext cx="295017" cy="2746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horz" wrap="none" rtlCol="0" anchor="t">
          <a:spAutoFit/>
        </a:bodyPr>
        <a:lstStyle/>
        <a:p>
          <a:r>
            <a:rPr lang="en-US" altLang="zh-TW" sz="1200" b="0" i="0" u="none" strike="noStrike" baseline="0">
              <a:solidFill>
                <a:srgbClr val="000000"/>
              </a:solidFill>
              <a:latin typeface="Arial" panose="020B0604020202020204" pitchFamily="34" charset="0"/>
            </a:rPr>
            <a:t>f</a:t>
          </a:r>
          <a:r>
            <a:rPr lang="en-US" altLang="zh-TW" sz="1100"/>
            <a:t>a</a:t>
          </a:r>
          <a:endParaRPr lang="zh-TW" altLang="en-US" sz="1100"/>
        </a:p>
      </xdr:txBody>
    </xdr:sp>
    <xdr:clientData/>
  </xdr:oneCellAnchor>
  <xdr:twoCellAnchor>
    <xdr:from>
      <xdr:col>6</xdr:col>
      <xdr:colOff>543814</xdr:colOff>
      <xdr:row>9</xdr:row>
      <xdr:rowOff>186563</xdr:rowOff>
    </xdr:from>
    <xdr:to>
      <xdr:col>6</xdr:col>
      <xdr:colOff>543814</xdr:colOff>
      <xdr:row>14</xdr:row>
      <xdr:rowOff>99187</xdr:rowOff>
    </xdr:to>
    <xdr:cxnSp macro="">
      <xdr:nvCxnSpPr>
        <xdr:cNvPr id="18" name="直線接點 17"/>
        <xdr:cNvCxnSpPr/>
      </xdr:nvCxnSpPr>
      <xdr:spPr bwMode="auto">
        <a:xfrm flipV="1">
          <a:off x="4334764" y="2139188"/>
          <a:ext cx="0" cy="1055624"/>
        </a:xfrm>
        <a:prstGeom prst="line">
          <a:avLst/>
        </a:prstGeom>
        <a:solidFill>
          <a:srgbClr val="FFFFFF"/>
        </a:solidFill>
        <a:ln w="25400" cap="flat" cmpd="sng" algn="ctr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7</xdr:col>
      <xdr:colOff>843661</xdr:colOff>
      <xdr:row>9</xdr:row>
      <xdr:rowOff>186563</xdr:rowOff>
    </xdr:from>
    <xdr:to>
      <xdr:col>7</xdr:col>
      <xdr:colOff>843661</xdr:colOff>
      <xdr:row>14</xdr:row>
      <xdr:rowOff>99187</xdr:rowOff>
    </xdr:to>
    <xdr:cxnSp macro="">
      <xdr:nvCxnSpPr>
        <xdr:cNvPr id="19" name="直線接點 18"/>
        <xdr:cNvCxnSpPr/>
      </xdr:nvCxnSpPr>
      <xdr:spPr bwMode="auto">
        <a:xfrm flipV="1">
          <a:off x="5444236" y="2139188"/>
          <a:ext cx="0" cy="1055624"/>
        </a:xfrm>
        <a:prstGeom prst="line">
          <a:avLst/>
        </a:prstGeom>
        <a:solidFill>
          <a:srgbClr val="FFFFFF"/>
        </a:solidFill>
        <a:ln w="25400" cap="flat" cmpd="sng" algn="ctr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6</xdr:col>
      <xdr:colOff>543814</xdr:colOff>
      <xdr:row>14</xdr:row>
      <xdr:rowOff>99187</xdr:rowOff>
    </xdr:from>
    <xdr:to>
      <xdr:col>7</xdr:col>
      <xdr:colOff>843661</xdr:colOff>
      <xdr:row>14</xdr:row>
      <xdr:rowOff>99187</xdr:rowOff>
    </xdr:to>
    <xdr:cxnSp macro="">
      <xdr:nvCxnSpPr>
        <xdr:cNvPr id="20" name="直線接點 19"/>
        <xdr:cNvCxnSpPr/>
      </xdr:nvCxnSpPr>
      <xdr:spPr bwMode="auto">
        <a:xfrm>
          <a:off x="4334764" y="3194812"/>
          <a:ext cx="1109472" cy="0"/>
        </a:xfrm>
        <a:prstGeom prst="line">
          <a:avLst/>
        </a:prstGeom>
        <a:solidFill>
          <a:srgbClr val="FFFFFF"/>
        </a:solidFill>
        <a:ln w="25400" cap="flat" cmpd="sng" algn="ctr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6</xdr:col>
      <xdr:colOff>543814</xdr:colOff>
      <xdr:row>9</xdr:row>
      <xdr:rowOff>186563</xdr:rowOff>
    </xdr:from>
    <xdr:to>
      <xdr:col>7</xdr:col>
      <xdr:colOff>843661</xdr:colOff>
      <xdr:row>9</xdr:row>
      <xdr:rowOff>186563</xdr:rowOff>
    </xdr:to>
    <xdr:cxnSp macro="">
      <xdr:nvCxnSpPr>
        <xdr:cNvPr id="21" name="直線接點 20"/>
        <xdr:cNvCxnSpPr/>
      </xdr:nvCxnSpPr>
      <xdr:spPr bwMode="auto">
        <a:xfrm>
          <a:off x="4334764" y="2139188"/>
          <a:ext cx="1109472" cy="0"/>
        </a:xfrm>
        <a:prstGeom prst="line">
          <a:avLst/>
        </a:prstGeom>
        <a:solidFill>
          <a:srgbClr val="FFFFFF"/>
        </a:solidFill>
        <a:ln w="25400" cap="flat" cmpd="sng" algn="ctr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10</xdr:col>
      <xdr:colOff>120650</xdr:colOff>
      <xdr:row>7</xdr:row>
      <xdr:rowOff>206375</xdr:rowOff>
    </xdr:from>
    <xdr:to>
      <xdr:col>10</xdr:col>
      <xdr:colOff>120650</xdr:colOff>
      <xdr:row>16</xdr:row>
      <xdr:rowOff>79375</xdr:rowOff>
    </xdr:to>
    <xdr:cxnSp macro="">
      <xdr:nvCxnSpPr>
        <xdr:cNvPr id="22" name="直線接點 21"/>
        <xdr:cNvCxnSpPr/>
      </xdr:nvCxnSpPr>
      <xdr:spPr bwMode="auto">
        <a:xfrm flipV="1">
          <a:off x="7607300" y="1701800"/>
          <a:ext cx="0" cy="193040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10</xdr:col>
      <xdr:colOff>120650</xdr:colOff>
      <xdr:row>16</xdr:row>
      <xdr:rowOff>79375</xdr:rowOff>
    </xdr:from>
    <xdr:to>
      <xdr:col>11</xdr:col>
      <xdr:colOff>1241425</xdr:colOff>
      <xdr:row>16</xdr:row>
      <xdr:rowOff>79375</xdr:rowOff>
    </xdr:to>
    <xdr:cxnSp macro="">
      <xdr:nvCxnSpPr>
        <xdr:cNvPr id="23" name="直線接點 22"/>
        <xdr:cNvCxnSpPr/>
      </xdr:nvCxnSpPr>
      <xdr:spPr bwMode="auto">
        <a:xfrm>
          <a:off x="7607300" y="3632200"/>
          <a:ext cx="1930400" cy="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11</xdr:col>
      <xdr:colOff>1241425</xdr:colOff>
      <xdr:row>7</xdr:row>
      <xdr:rowOff>206375</xdr:rowOff>
    </xdr:from>
    <xdr:to>
      <xdr:col>11</xdr:col>
      <xdr:colOff>1241425</xdr:colOff>
      <xdr:row>16</xdr:row>
      <xdr:rowOff>79375</xdr:rowOff>
    </xdr:to>
    <xdr:cxnSp macro="">
      <xdr:nvCxnSpPr>
        <xdr:cNvPr id="24" name="直線接點 23"/>
        <xdr:cNvCxnSpPr/>
      </xdr:nvCxnSpPr>
      <xdr:spPr bwMode="auto">
        <a:xfrm>
          <a:off x="9537700" y="1701800"/>
          <a:ext cx="0" cy="193040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10</xdr:col>
      <xdr:colOff>120650</xdr:colOff>
      <xdr:row>7</xdr:row>
      <xdr:rowOff>206375</xdr:rowOff>
    </xdr:from>
    <xdr:to>
      <xdr:col>11</xdr:col>
      <xdr:colOff>1241425</xdr:colOff>
      <xdr:row>7</xdr:row>
      <xdr:rowOff>206375</xdr:rowOff>
    </xdr:to>
    <xdr:cxnSp macro="">
      <xdr:nvCxnSpPr>
        <xdr:cNvPr id="25" name="直線接點 24"/>
        <xdr:cNvCxnSpPr/>
      </xdr:nvCxnSpPr>
      <xdr:spPr bwMode="auto">
        <a:xfrm flipH="1">
          <a:off x="7607300" y="1701800"/>
          <a:ext cx="1930400" cy="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oneCellAnchor>
    <xdr:from>
      <xdr:col>10</xdr:col>
      <xdr:colOff>744982</xdr:colOff>
      <xdr:row>12</xdr:row>
      <xdr:rowOff>165481</xdr:rowOff>
    </xdr:from>
    <xdr:ext cx="295017" cy="274627"/>
    <xdr:sp macro="" textlink="">
      <xdr:nvSpPr>
        <xdr:cNvPr id="26" name="文字方塊 25"/>
        <xdr:cNvSpPr txBox="1"/>
      </xdr:nvSpPr>
      <xdr:spPr>
        <a:xfrm>
          <a:off x="8231632" y="2803906"/>
          <a:ext cx="295017" cy="2746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horz" wrap="none" rtlCol="0" anchor="t">
          <a:spAutoFit/>
        </a:bodyPr>
        <a:lstStyle/>
        <a:p>
          <a:r>
            <a:rPr lang="en-US" altLang="zh-TW" sz="1200" b="0" i="0" u="none" strike="noStrike" baseline="0">
              <a:solidFill>
                <a:srgbClr val="000000"/>
              </a:solidFill>
              <a:latin typeface="Arial" panose="020B0604020202020204" pitchFamily="34" charset="0"/>
            </a:rPr>
            <a:t>f</a:t>
          </a:r>
          <a:r>
            <a:rPr lang="en-US" altLang="zh-TW" sz="1100"/>
            <a:t>a</a:t>
          </a:r>
          <a:endParaRPr lang="zh-TW" altLang="en-US" sz="1100"/>
        </a:p>
      </xdr:txBody>
    </xdr:sp>
    <xdr:clientData/>
  </xdr:oneCellAnchor>
  <xdr:oneCellAnchor>
    <xdr:from>
      <xdr:col>10</xdr:col>
      <xdr:colOff>744982</xdr:colOff>
      <xdr:row>10</xdr:row>
      <xdr:rowOff>94869</xdr:rowOff>
    </xdr:from>
    <xdr:ext cx="295017" cy="274627"/>
    <xdr:sp macro="" textlink="">
      <xdr:nvSpPr>
        <xdr:cNvPr id="27" name="文字方塊 26"/>
        <xdr:cNvSpPr txBox="1"/>
      </xdr:nvSpPr>
      <xdr:spPr>
        <a:xfrm>
          <a:off x="8231632" y="2276094"/>
          <a:ext cx="295017" cy="2746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horz" wrap="none" rtlCol="0" anchor="t">
          <a:spAutoFit/>
        </a:bodyPr>
        <a:lstStyle/>
        <a:p>
          <a:r>
            <a:rPr lang="en-US" altLang="zh-TW" sz="1200" b="0" i="0" u="none" strike="noStrike" baseline="0">
              <a:solidFill>
                <a:srgbClr val="000000"/>
              </a:solidFill>
              <a:latin typeface="Arial" panose="020B0604020202020204" pitchFamily="34" charset="0"/>
            </a:rPr>
            <a:t>f</a:t>
          </a:r>
          <a:r>
            <a:rPr lang="en-US" altLang="zh-TW" sz="1100"/>
            <a:t>a</a:t>
          </a:r>
          <a:endParaRPr lang="zh-TW" altLang="en-US" sz="1100"/>
        </a:p>
      </xdr:txBody>
    </xdr:sp>
    <xdr:clientData/>
  </xdr:oneCellAnchor>
  <xdr:oneCellAnchor>
    <xdr:from>
      <xdr:col>11</xdr:col>
      <xdr:colOff>490093</xdr:colOff>
      <xdr:row>12</xdr:row>
      <xdr:rowOff>165481</xdr:rowOff>
    </xdr:from>
    <xdr:ext cx="295017" cy="274627"/>
    <xdr:sp macro="" textlink="">
      <xdr:nvSpPr>
        <xdr:cNvPr id="28" name="文字方塊 27"/>
        <xdr:cNvSpPr txBox="1"/>
      </xdr:nvSpPr>
      <xdr:spPr>
        <a:xfrm>
          <a:off x="8786368" y="2803906"/>
          <a:ext cx="295017" cy="2746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horz" wrap="none" rtlCol="0" anchor="t">
          <a:spAutoFit/>
        </a:bodyPr>
        <a:lstStyle/>
        <a:p>
          <a:r>
            <a:rPr lang="en-US" altLang="zh-TW" sz="1200" b="0" i="0" u="none" strike="noStrike" baseline="0">
              <a:solidFill>
                <a:srgbClr val="000000"/>
              </a:solidFill>
              <a:latin typeface="Arial" panose="020B0604020202020204" pitchFamily="34" charset="0"/>
            </a:rPr>
            <a:t>f</a:t>
          </a:r>
          <a:r>
            <a:rPr lang="en-US" altLang="zh-TW" sz="1100"/>
            <a:t>a</a:t>
          </a:r>
          <a:endParaRPr lang="zh-TW" altLang="en-US" sz="1100"/>
        </a:p>
      </xdr:txBody>
    </xdr:sp>
    <xdr:clientData/>
  </xdr:oneCellAnchor>
  <xdr:oneCellAnchor>
    <xdr:from>
      <xdr:col>11</xdr:col>
      <xdr:colOff>490093</xdr:colOff>
      <xdr:row>10</xdr:row>
      <xdr:rowOff>94869</xdr:rowOff>
    </xdr:from>
    <xdr:ext cx="295017" cy="274627"/>
    <xdr:sp macro="" textlink="">
      <xdr:nvSpPr>
        <xdr:cNvPr id="29" name="文字方塊 28"/>
        <xdr:cNvSpPr txBox="1"/>
      </xdr:nvSpPr>
      <xdr:spPr>
        <a:xfrm>
          <a:off x="8786368" y="2276094"/>
          <a:ext cx="295017" cy="2746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horz" wrap="none" rtlCol="0" anchor="t">
          <a:spAutoFit/>
        </a:bodyPr>
        <a:lstStyle/>
        <a:p>
          <a:r>
            <a:rPr lang="en-US" altLang="zh-TW" sz="1200" b="0" i="0" u="none" strike="noStrike" baseline="0">
              <a:solidFill>
                <a:srgbClr val="000000"/>
              </a:solidFill>
              <a:latin typeface="Arial" panose="020B0604020202020204" pitchFamily="34" charset="0"/>
            </a:rPr>
            <a:t>f</a:t>
          </a:r>
          <a:r>
            <a:rPr lang="en-US" altLang="zh-TW" sz="1100"/>
            <a:t>a</a:t>
          </a:r>
          <a:endParaRPr lang="zh-TW" altLang="en-US" sz="1100"/>
        </a:p>
      </xdr:txBody>
    </xdr:sp>
    <xdr:clientData/>
  </xdr:oneCellAnchor>
  <xdr:twoCellAnchor>
    <xdr:from>
      <xdr:col>10</xdr:col>
      <xdr:colOff>531114</xdr:colOff>
      <xdr:row>9</xdr:row>
      <xdr:rowOff>186563</xdr:rowOff>
    </xdr:from>
    <xdr:to>
      <xdr:col>10</xdr:col>
      <xdr:colOff>531114</xdr:colOff>
      <xdr:row>14</xdr:row>
      <xdr:rowOff>99187</xdr:rowOff>
    </xdr:to>
    <xdr:cxnSp macro="">
      <xdr:nvCxnSpPr>
        <xdr:cNvPr id="30" name="直線接點 29"/>
        <xdr:cNvCxnSpPr/>
      </xdr:nvCxnSpPr>
      <xdr:spPr bwMode="auto">
        <a:xfrm flipV="1">
          <a:off x="8017764" y="2139188"/>
          <a:ext cx="0" cy="1055624"/>
        </a:xfrm>
        <a:prstGeom prst="line">
          <a:avLst/>
        </a:prstGeom>
        <a:solidFill>
          <a:srgbClr val="FFFFFF"/>
        </a:solidFill>
        <a:ln w="25400" cap="flat" cmpd="sng" algn="ctr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11</xdr:col>
      <xdr:colOff>276225</xdr:colOff>
      <xdr:row>9</xdr:row>
      <xdr:rowOff>186563</xdr:rowOff>
    </xdr:from>
    <xdr:to>
      <xdr:col>11</xdr:col>
      <xdr:colOff>276225</xdr:colOff>
      <xdr:row>14</xdr:row>
      <xdr:rowOff>99187</xdr:rowOff>
    </xdr:to>
    <xdr:cxnSp macro="">
      <xdr:nvCxnSpPr>
        <xdr:cNvPr id="31" name="直線接點 30"/>
        <xdr:cNvCxnSpPr/>
      </xdr:nvCxnSpPr>
      <xdr:spPr bwMode="auto">
        <a:xfrm flipV="1">
          <a:off x="8572500" y="2139188"/>
          <a:ext cx="0" cy="1055624"/>
        </a:xfrm>
        <a:prstGeom prst="line">
          <a:avLst/>
        </a:prstGeom>
        <a:solidFill>
          <a:srgbClr val="FFFFFF"/>
        </a:solidFill>
        <a:ln w="25400" cap="flat" cmpd="sng" algn="ctr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11</xdr:col>
      <xdr:colOff>830961</xdr:colOff>
      <xdr:row>9</xdr:row>
      <xdr:rowOff>186563</xdr:rowOff>
    </xdr:from>
    <xdr:to>
      <xdr:col>11</xdr:col>
      <xdr:colOff>830961</xdr:colOff>
      <xdr:row>14</xdr:row>
      <xdr:rowOff>99187</xdr:rowOff>
    </xdr:to>
    <xdr:cxnSp macro="">
      <xdr:nvCxnSpPr>
        <xdr:cNvPr id="32" name="直線接點 31"/>
        <xdr:cNvCxnSpPr/>
      </xdr:nvCxnSpPr>
      <xdr:spPr bwMode="auto">
        <a:xfrm flipV="1">
          <a:off x="9127236" y="2139188"/>
          <a:ext cx="0" cy="1055624"/>
        </a:xfrm>
        <a:prstGeom prst="line">
          <a:avLst/>
        </a:prstGeom>
        <a:solidFill>
          <a:srgbClr val="FFFFFF"/>
        </a:solidFill>
        <a:ln w="25400" cap="flat" cmpd="sng" algn="ctr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10</xdr:col>
      <xdr:colOff>531114</xdr:colOff>
      <xdr:row>14</xdr:row>
      <xdr:rowOff>99187</xdr:rowOff>
    </xdr:from>
    <xdr:to>
      <xdr:col>11</xdr:col>
      <xdr:colOff>830961</xdr:colOff>
      <xdr:row>14</xdr:row>
      <xdr:rowOff>99187</xdr:rowOff>
    </xdr:to>
    <xdr:cxnSp macro="">
      <xdr:nvCxnSpPr>
        <xdr:cNvPr id="33" name="直線接點 32"/>
        <xdr:cNvCxnSpPr/>
      </xdr:nvCxnSpPr>
      <xdr:spPr bwMode="auto">
        <a:xfrm>
          <a:off x="8017764" y="3194812"/>
          <a:ext cx="1109472" cy="0"/>
        </a:xfrm>
        <a:prstGeom prst="line">
          <a:avLst/>
        </a:prstGeom>
        <a:solidFill>
          <a:srgbClr val="FFFFFF"/>
        </a:solidFill>
        <a:ln w="25400" cap="flat" cmpd="sng" algn="ctr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10</xdr:col>
      <xdr:colOff>531114</xdr:colOff>
      <xdr:row>12</xdr:row>
      <xdr:rowOff>28575</xdr:rowOff>
    </xdr:from>
    <xdr:to>
      <xdr:col>11</xdr:col>
      <xdr:colOff>830961</xdr:colOff>
      <xdr:row>12</xdr:row>
      <xdr:rowOff>28575</xdr:rowOff>
    </xdr:to>
    <xdr:cxnSp macro="">
      <xdr:nvCxnSpPr>
        <xdr:cNvPr id="34" name="直線接點 33"/>
        <xdr:cNvCxnSpPr/>
      </xdr:nvCxnSpPr>
      <xdr:spPr bwMode="auto">
        <a:xfrm>
          <a:off x="8017764" y="2667000"/>
          <a:ext cx="1109472" cy="0"/>
        </a:xfrm>
        <a:prstGeom prst="line">
          <a:avLst/>
        </a:prstGeom>
        <a:solidFill>
          <a:srgbClr val="FFFFFF"/>
        </a:solidFill>
        <a:ln w="25400" cap="flat" cmpd="sng" algn="ctr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10</xdr:col>
      <xdr:colOff>531114</xdr:colOff>
      <xdr:row>9</xdr:row>
      <xdr:rowOff>186563</xdr:rowOff>
    </xdr:from>
    <xdr:to>
      <xdr:col>11</xdr:col>
      <xdr:colOff>830961</xdr:colOff>
      <xdr:row>9</xdr:row>
      <xdr:rowOff>186563</xdr:rowOff>
    </xdr:to>
    <xdr:cxnSp macro="">
      <xdr:nvCxnSpPr>
        <xdr:cNvPr id="35" name="直線接點 34"/>
        <xdr:cNvCxnSpPr/>
      </xdr:nvCxnSpPr>
      <xdr:spPr bwMode="auto">
        <a:xfrm>
          <a:off x="8017764" y="2139188"/>
          <a:ext cx="1109472" cy="0"/>
        </a:xfrm>
        <a:prstGeom prst="line">
          <a:avLst/>
        </a:prstGeom>
        <a:solidFill>
          <a:srgbClr val="FFFFFF"/>
        </a:solidFill>
        <a:ln w="25400" cap="flat" cmpd="sng" algn="ctr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812800</xdr:colOff>
      <xdr:row>6</xdr:row>
      <xdr:rowOff>88900</xdr:rowOff>
    </xdr:from>
    <xdr:to>
      <xdr:col>9</xdr:col>
      <xdr:colOff>288925</xdr:colOff>
      <xdr:row>20</xdr:row>
      <xdr:rowOff>214052</xdr:rowOff>
    </xdr:to>
    <xdr:grpSp>
      <xdr:nvGrpSpPr>
        <xdr:cNvPr id="98" name="群組 97"/>
        <xdr:cNvGrpSpPr/>
      </xdr:nvGrpSpPr>
      <xdr:grpSpPr>
        <a:xfrm>
          <a:off x="7543800" y="2146300"/>
          <a:ext cx="3489325" cy="3325552"/>
          <a:chOff x="9474200" y="6191123"/>
          <a:chExt cx="3489325" cy="3325552"/>
        </a:xfrm>
      </xdr:grpSpPr>
      <xdr:cxnSp macro="">
        <xdr:nvCxnSpPr>
          <xdr:cNvPr id="99" name="直線接點 98"/>
          <xdr:cNvCxnSpPr/>
        </xdr:nvCxnSpPr>
        <xdr:spPr bwMode="auto">
          <a:xfrm>
            <a:off x="11223625" y="7854823"/>
            <a:ext cx="0" cy="0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100" name="直線接點 99"/>
          <xdr:cNvCxnSpPr/>
        </xdr:nvCxnSpPr>
        <xdr:spPr bwMode="auto">
          <a:xfrm>
            <a:off x="11376025" y="8007223"/>
            <a:ext cx="0" cy="0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101" name="直線接點 100"/>
          <xdr:cNvCxnSpPr/>
        </xdr:nvCxnSpPr>
        <xdr:spPr bwMode="auto">
          <a:xfrm flipV="1">
            <a:off x="9483725" y="6205411"/>
            <a:ext cx="0" cy="3298825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102" name="直線接點 101"/>
          <xdr:cNvCxnSpPr/>
        </xdr:nvCxnSpPr>
        <xdr:spPr bwMode="auto">
          <a:xfrm flipV="1">
            <a:off x="12963525" y="6205411"/>
            <a:ext cx="0" cy="3298825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103" name="直線接點 102"/>
          <xdr:cNvCxnSpPr/>
        </xdr:nvCxnSpPr>
        <xdr:spPr bwMode="auto">
          <a:xfrm>
            <a:off x="9483725" y="9504236"/>
            <a:ext cx="3479800" cy="0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104" name="直線接點 103"/>
          <xdr:cNvCxnSpPr/>
        </xdr:nvCxnSpPr>
        <xdr:spPr bwMode="auto">
          <a:xfrm>
            <a:off x="9483725" y="6205411"/>
            <a:ext cx="3479800" cy="0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105" name="直線接點 104"/>
          <xdr:cNvCxnSpPr/>
        </xdr:nvCxnSpPr>
        <xdr:spPr bwMode="auto">
          <a:xfrm>
            <a:off x="9474200" y="6915118"/>
            <a:ext cx="3479800" cy="0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106" name="直線接點 105"/>
          <xdr:cNvCxnSpPr/>
        </xdr:nvCxnSpPr>
        <xdr:spPr bwMode="auto">
          <a:xfrm>
            <a:off x="9474200" y="6683343"/>
            <a:ext cx="3479800" cy="0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107" name="直線接點 106"/>
          <xdr:cNvCxnSpPr/>
        </xdr:nvCxnSpPr>
        <xdr:spPr bwMode="auto">
          <a:xfrm>
            <a:off x="9474200" y="6451568"/>
            <a:ext cx="3479800" cy="0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108" name="直線接點 107"/>
          <xdr:cNvCxnSpPr/>
        </xdr:nvCxnSpPr>
        <xdr:spPr bwMode="auto">
          <a:xfrm flipH="1" flipV="1">
            <a:off x="9626601" y="6452727"/>
            <a:ext cx="4526" cy="684546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109" name="直線接點 108"/>
          <xdr:cNvCxnSpPr/>
        </xdr:nvCxnSpPr>
        <xdr:spPr bwMode="auto">
          <a:xfrm flipH="1" flipV="1">
            <a:off x="9774237" y="6452727"/>
            <a:ext cx="3632" cy="667634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110" name="直線接點 109"/>
          <xdr:cNvCxnSpPr/>
        </xdr:nvCxnSpPr>
        <xdr:spPr bwMode="auto">
          <a:xfrm flipH="1" flipV="1">
            <a:off x="9918700" y="6452731"/>
            <a:ext cx="629" cy="672345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111" name="直線接點 110"/>
          <xdr:cNvCxnSpPr/>
        </xdr:nvCxnSpPr>
        <xdr:spPr bwMode="auto">
          <a:xfrm flipV="1">
            <a:off x="10060789" y="6457444"/>
            <a:ext cx="2373" cy="672348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112" name="直線接點 111"/>
          <xdr:cNvCxnSpPr/>
        </xdr:nvCxnSpPr>
        <xdr:spPr bwMode="auto">
          <a:xfrm flipV="1">
            <a:off x="10206965" y="6448012"/>
            <a:ext cx="660" cy="677064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113" name="直線接點 112"/>
          <xdr:cNvCxnSpPr/>
        </xdr:nvCxnSpPr>
        <xdr:spPr bwMode="auto">
          <a:xfrm flipV="1">
            <a:off x="10348425" y="6191123"/>
            <a:ext cx="3662" cy="929238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114" name="直線接點 113"/>
          <xdr:cNvCxnSpPr/>
        </xdr:nvCxnSpPr>
        <xdr:spPr bwMode="auto">
          <a:xfrm flipV="1">
            <a:off x="10494601" y="6191124"/>
            <a:ext cx="1949" cy="924522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115" name="直線接點 114"/>
          <xdr:cNvCxnSpPr/>
        </xdr:nvCxnSpPr>
        <xdr:spPr bwMode="auto">
          <a:xfrm flipV="1">
            <a:off x="10636062" y="6191124"/>
            <a:ext cx="4950" cy="933952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116" name="直線接點 115"/>
          <xdr:cNvCxnSpPr/>
        </xdr:nvCxnSpPr>
        <xdr:spPr bwMode="auto">
          <a:xfrm flipH="1" flipV="1">
            <a:off x="10788651" y="6191124"/>
            <a:ext cx="1948" cy="929237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117" name="直線接點 116"/>
          <xdr:cNvCxnSpPr/>
        </xdr:nvCxnSpPr>
        <xdr:spPr bwMode="auto">
          <a:xfrm flipV="1">
            <a:off x="10927344" y="6191124"/>
            <a:ext cx="5768" cy="924522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118" name="直線接點 117"/>
          <xdr:cNvCxnSpPr/>
        </xdr:nvCxnSpPr>
        <xdr:spPr bwMode="auto">
          <a:xfrm flipV="1">
            <a:off x="11073519" y="6191124"/>
            <a:ext cx="4056" cy="919806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119" name="直線接點 118"/>
          <xdr:cNvCxnSpPr/>
        </xdr:nvCxnSpPr>
        <xdr:spPr bwMode="auto">
          <a:xfrm flipV="1">
            <a:off x="11214980" y="6191123"/>
            <a:ext cx="7057" cy="924523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120" name="直線接點 119"/>
          <xdr:cNvCxnSpPr/>
        </xdr:nvCxnSpPr>
        <xdr:spPr bwMode="auto">
          <a:xfrm flipV="1">
            <a:off x="11356440" y="6191123"/>
            <a:ext cx="10060" cy="933953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121" name="直線接點 120"/>
          <xdr:cNvCxnSpPr/>
        </xdr:nvCxnSpPr>
        <xdr:spPr bwMode="auto">
          <a:xfrm flipV="1">
            <a:off x="11502616" y="6191124"/>
            <a:ext cx="8346" cy="948098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122" name="直線接點 121"/>
          <xdr:cNvCxnSpPr/>
        </xdr:nvCxnSpPr>
        <xdr:spPr bwMode="auto">
          <a:xfrm flipV="1">
            <a:off x="11648792" y="6191123"/>
            <a:ext cx="6633" cy="943384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123" name="直線接點 122"/>
          <xdr:cNvCxnSpPr/>
        </xdr:nvCxnSpPr>
        <xdr:spPr bwMode="auto">
          <a:xfrm flipV="1">
            <a:off x="11798614" y="6191123"/>
            <a:ext cx="4448" cy="929238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124" name="直線接點 123"/>
          <xdr:cNvCxnSpPr/>
        </xdr:nvCxnSpPr>
        <xdr:spPr bwMode="auto">
          <a:xfrm flipV="1">
            <a:off x="11940075" y="6191123"/>
            <a:ext cx="7450" cy="938669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125" name="直線接點 124"/>
          <xdr:cNvCxnSpPr/>
        </xdr:nvCxnSpPr>
        <xdr:spPr bwMode="auto">
          <a:xfrm flipV="1">
            <a:off x="12086251" y="6191123"/>
            <a:ext cx="5736" cy="929238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126" name="直線接點 125"/>
          <xdr:cNvCxnSpPr/>
        </xdr:nvCxnSpPr>
        <xdr:spPr bwMode="auto">
          <a:xfrm flipV="1">
            <a:off x="12232426" y="6457442"/>
            <a:ext cx="4026" cy="662919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127" name="直線接點 126"/>
          <xdr:cNvCxnSpPr/>
        </xdr:nvCxnSpPr>
        <xdr:spPr bwMode="auto">
          <a:xfrm flipV="1">
            <a:off x="12373887" y="6462164"/>
            <a:ext cx="7025" cy="662912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128" name="直線接點 127"/>
          <xdr:cNvCxnSpPr/>
        </xdr:nvCxnSpPr>
        <xdr:spPr bwMode="auto">
          <a:xfrm flipV="1">
            <a:off x="12524778" y="6462164"/>
            <a:ext cx="597" cy="662912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129" name="直線接點 128"/>
          <xdr:cNvCxnSpPr/>
        </xdr:nvCxnSpPr>
        <xdr:spPr bwMode="auto">
          <a:xfrm flipV="1">
            <a:off x="12666238" y="6462163"/>
            <a:ext cx="10420" cy="653483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130" name="直線接點 129"/>
          <xdr:cNvCxnSpPr/>
        </xdr:nvCxnSpPr>
        <xdr:spPr bwMode="auto">
          <a:xfrm flipV="1">
            <a:off x="12816060" y="6462163"/>
            <a:ext cx="1415" cy="662913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131" name="直線接點 130"/>
          <xdr:cNvCxnSpPr/>
        </xdr:nvCxnSpPr>
        <xdr:spPr bwMode="auto">
          <a:xfrm>
            <a:off x="9477148" y="7120364"/>
            <a:ext cx="3479800" cy="0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132" name="直線接點 131"/>
          <xdr:cNvCxnSpPr/>
        </xdr:nvCxnSpPr>
        <xdr:spPr bwMode="auto">
          <a:xfrm>
            <a:off x="9527446" y="8969343"/>
            <a:ext cx="3375324" cy="0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133" name="直線接點 132"/>
          <xdr:cNvCxnSpPr/>
        </xdr:nvCxnSpPr>
        <xdr:spPr bwMode="auto">
          <a:xfrm>
            <a:off x="9527446" y="8703554"/>
            <a:ext cx="3375324" cy="0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134" name="直線接點 133"/>
          <xdr:cNvCxnSpPr/>
        </xdr:nvCxnSpPr>
        <xdr:spPr bwMode="auto">
          <a:xfrm>
            <a:off x="9527446" y="8437766"/>
            <a:ext cx="3375324" cy="0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135" name="直線接點 134"/>
          <xdr:cNvCxnSpPr/>
        </xdr:nvCxnSpPr>
        <xdr:spPr bwMode="auto">
          <a:xfrm>
            <a:off x="9527446" y="8171978"/>
            <a:ext cx="3375324" cy="0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136" name="直線接點 135"/>
          <xdr:cNvCxnSpPr/>
        </xdr:nvCxnSpPr>
        <xdr:spPr bwMode="auto">
          <a:xfrm>
            <a:off x="9527446" y="7903926"/>
            <a:ext cx="3375324" cy="0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137" name="直線接點 136"/>
          <xdr:cNvCxnSpPr/>
        </xdr:nvCxnSpPr>
        <xdr:spPr bwMode="auto">
          <a:xfrm>
            <a:off x="9527446" y="7638137"/>
            <a:ext cx="3375324" cy="0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138" name="直線接點 137"/>
          <xdr:cNvCxnSpPr/>
        </xdr:nvCxnSpPr>
        <xdr:spPr bwMode="auto">
          <a:xfrm>
            <a:off x="9527446" y="7372349"/>
            <a:ext cx="3375324" cy="0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139" name="直線接點 138"/>
          <xdr:cNvCxnSpPr/>
        </xdr:nvCxnSpPr>
        <xdr:spPr bwMode="auto">
          <a:xfrm flipH="1" flipV="1">
            <a:off x="9533768" y="7115653"/>
            <a:ext cx="11776" cy="1848772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140" name="直線接點 139"/>
          <xdr:cNvCxnSpPr/>
        </xdr:nvCxnSpPr>
        <xdr:spPr bwMode="auto">
          <a:xfrm flipH="1" flipV="1">
            <a:off x="9713627" y="7115652"/>
            <a:ext cx="16122" cy="1859868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141" name="直線接點 140"/>
          <xdr:cNvCxnSpPr/>
        </xdr:nvCxnSpPr>
        <xdr:spPr bwMode="auto">
          <a:xfrm flipH="1" flipV="1">
            <a:off x="9889840" y="7115652"/>
            <a:ext cx="2531" cy="1841283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142" name="直線接點 141"/>
          <xdr:cNvCxnSpPr/>
        </xdr:nvCxnSpPr>
        <xdr:spPr bwMode="auto">
          <a:xfrm flipV="1">
            <a:off x="10064285" y="7115652"/>
            <a:ext cx="1767" cy="1831990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143" name="直線接點 142"/>
          <xdr:cNvCxnSpPr/>
        </xdr:nvCxnSpPr>
        <xdr:spPr bwMode="auto">
          <a:xfrm flipH="1" flipV="1">
            <a:off x="10242265" y="7115652"/>
            <a:ext cx="7874" cy="1841283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144" name="直線接點 143"/>
          <xdr:cNvCxnSpPr/>
        </xdr:nvCxnSpPr>
        <xdr:spPr bwMode="auto">
          <a:xfrm flipV="1">
            <a:off x="10412761" y="7115652"/>
            <a:ext cx="5716" cy="1855222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145" name="直線接點 144"/>
          <xdr:cNvCxnSpPr/>
        </xdr:nvCxnSpPr>
        <xdr:spPr bwMode="auto">
          <a:xfrm flipH="1" flipV="1">
            <a:off x="10597865" y="7115652"/>
            <a:ext cx="749" cy="1850576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146" name="直線接點 145"/>
          <xdr:cNvCxnSpPr/>
        </xdr:nvCxnSpPr>
        <xdr:spPr bwMode="auto">
          <a:xfrm flipH="1" flipV="1">
            <a:off x="10777723" y="7115652"/>
            <a:ext cx="6436" cy="1850576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147" name="直線接點 146"/>
          <xdr:cNvCxnSpPr/>
        </xdr:nvCxnSpPr>
        <xdr:spPr bwMode="auto">
          <a:xfrm flipV="1">
            <a:off x="10951427" y="7115653"/>
            <a:ext cx="2509" cy="1845928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148" name="直線接點 147"/>
          <xdr:cNvCxnSpPr/>
        </xdr:nvCxnSpPr>
        <xdr:spPr bwMode="auto">
          <a:xfrm flipV="1">
            <a:off x="11127988" y="7115652"/>
            <a:ext cx="2160" cy="1855222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149" name="直線接點 148"/>
          <xdr:cNvCxnSpPr/>
        </xdr:nvCxnSpPr>
        <xdr:spPr bwMode="auto">
          <a:xfrm flipH="1" flipV="1">
            <a:off x="11306362" y="7115652"/>
            <a:ext cx="3775" cy="1850323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150" name="直線接點 149"/>
          <xdr:cNvCxnSpPr/>
        </xdr:nvCxnSpPr>
        <xdr:spPr bwMode="auto">
          <a:xfrm flipH="1" flipV="1">
            <a:off x="11482573" y="7115652"/>
            <a:ext cx="13007" cy="1854538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151" name="直線接點 150"/>
          <xdr:cNvCxnSpPr/>
        </xdr:nvCxnSpPr>
        <xdr:spPr bwMode="auto">
          <a:xfrm flipV="1">
            <a:off x="11657671" y="7115652"/>
            <a:ext cx="4290" cy="1859868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152" name="直線接點 151"/>
          <xdr:cNvCxnSpPr/>
        </xdr:nvCxnSpPr>
        <xdr:spPr bwMode="auto">
          <a:xfrm flipH="1" flipV="1">
            <a:off x="11841820" y="7115653"/>
            <a:ext cx="5412" cy="2389016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153" name="直線接點 152"/>
          <xdr:cNvCxnSpPr/>
        </xdr:nvCxnSpPr>
        <xdr:spPr bwMode="auto">
          <a:xfrm flipH="1" flipV="1">
            <a:off x="12014033" y="7115652"/>
            <a:ext cx="9354" cy="2381506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154" name="直線接點 153"/>
          <xdr:cNvCxnSpPr/>
        </xdr:nvCxnSpPr>
        <xdr:spPr bwMode="auto">
          <a:xfrm flipV="1">
            <a:off x="12191306" y="7115653"/>
            <a:ext cx="2939" cy="2401022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155" name="直線接點 154"/>
          <xdr:cNvCxnSpPr/>
        </xdr:nvCxnSpPr>
        <xdr:spPr bwMode="auto">
          <a:xfrm flipV="1">
            <a:off x="12358958" y="7115654"/>
            <a:ext cx="11500" cy="2130284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156" name="直線接點 155"/>
          <xdr:cNvCxnSpPr/>
        </xdr:nvCxnSpPr>
        <xdr:spPr bwMode="auto">
          <a:xfrm flipV="1">
            <a:off x="12540166" y="7115652"/>
            <a:ext cx="9679" cy="2116347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157" name="直線接點 156"/>
          <xdr:cNvCxnSpPr/>
        </xdr:nvCxnSpPr>
        <xdr:spPr bwMode="auto">
          <a:xfrm flipV="1">
            <a:off x="12725710" y="7110932"/>
            <a:ext cx="10185" cy="2116421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158" name="直線接點 157"/>
          <xdr:cNvCxnSpPr/>
        </xdr:nvCxnSpPr>
        <xdr:spPr bwMode="auto">
          <a:xfrm flipV="1">
            <a:off x="12897624" y="7123499"/>
            <a:ext cx="9293" cy="2103854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159" name="直線接點 158"/>
          <xdr:cNvCxnSpPr/>
        </xdr:nvCxnSpPr>
        <xdr:spPr bwMode="auto">
          <a:xfrm>
            <a:off x="11861800" y="9220200"/>
            <a:ext cx="1079500" cy="12700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</xdr:grpSp>
    <xdr:clientData/>
  </xdr:twoCellAnchor>
  <xdr:oneCellAnchor>
    <xdr:from>
      <xdr:col>0</xdr:col>
      <xdr:colOff>0</xdr:colOff>
      <xdr:row>47</xdr:row>
      <xdr:rowOff>28351</xdr:rowOff>
    </xdr:from>
    <xdr:ext cx="10452100" cy="842923"/>
    <xdr:sp macro="" textlink="">
      <xdr:nvSpPr>
        <xdr:cNvPr id="62176" name="Text Box 3808"/>
        <xdr:cNvSpPr txBox="1">
          <a:spLocks noChangeArrowheads="1"/>
        </xdr:cNvSpPr>
      </xdr:nvSpPr>
      <xdr:spPr bwMode="auto">
        <a:xfrm>
          <a:off x="0" y="11458351"/>
          <a:ext cx="10452100" cy="842923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wrap="square" lIns="18288" tIns="22860" rIns="0" bIns="22860" anchor="ctr" upright="1">
          <a:spAutoFit/>
        </a:bodyPr>
        <a:lstStyle/>
        <a:p>
          <a:pPr algn="l" rtl="0">
            <a:lnSpc>
              <a:spcPct val="150000"/>
            </a:lnSpc>
            <a:defRPr sz="1000"/>
          </a:pPr>
          <a:r>
            <a:rPr lang="en-US" altLang="zh-TW" sz="1200" b="1" i="1" strike="noStrike">
              <a:solidFill>
                <a:srgbClr val="0000FF"/>
              </a:solidFill>
              <a:latin typeface="Arial"/>
              <a:cs typeface="Arial"/>
            </a:rPr>
            <a:t>Note :  </a:t>
          </a:r>
        </a:p>
        <a:p>
          <a:pPr algn="l" rtl="0">
            <a:lnSpc>
              <a:spcPct val="150000"/>
            </a:lnSpc>
            <a:defRPr sz="1000"/>
          </a:pPr>
          <a:r>
            <a:rPr lang="en-US" altLang="zh-TW" sz="1200" b="1" i="1" strike="noStrike">
              <a:solidFill>
                <a:srgbClr val="0000FF"/>
              </a:solidFill>
              <a:latin typeface="Arial"/>
              <a:cs typeface="Arial"/>
            </a:rPr>
            <a:t>(1) If the "cell name" field contains "VC", the mask house needs to modify the Version code when a new version is released.</a:t>
          </a:r>
        </a:p>
        <a:p>
          <a:pPr algn="l" rtl="0">
            <a:lnSpc>
              <a:spcPct val="150000"/>
            </a:lnSpc>
            <a:defRPr sz="1000"/>
          </a:pPr>
          <a:r>
            <a:rPr lang="en-US" altLang="zh-TW" sz="1200" b="1" i="1" strike="noStrike">
              <a:solidFill>
                <a:srgbClr val="0000FF"/>
              </a:solidFill>
              <a:latin typeface="Arial"/>
              <a:cs typeface="Arial"/>
            </a:rPr>
            <a:t>(2) If  "VC" is absent from the "cell name" field , no Version code is set ,and Mask house needn't make changes.</a:t>
          </a:r>
        </a:p>
      </xdr:txBody>
    </xdr:sp>
    <xdr:clientData/>
  </xdr:oneCellAnchor>
  <xdr:twoCellAnchor editAs="oneCell">
    <xdr:from>
      <xdr:col>3</xdr:col>
      <xdr:colOff>457200</xdr:colOff>
      <xdr:row>0</xdr:row>
      <xdr:rowOff>101600</xdr:rowOff>
    </xdr:from>
    <xdr:to>
      <xdr:col>8</xdr:col>
      <xdr:colOff>800100</xdr:colOff>
      <xdr:row>0</xdr:row>
      <xdr:rowOff>592618</xdr:rowOff>
    </xdr:to>
    <xdr:pic>
      <xdr:nvPicPr>
        <xdr:cNvPr id="18" name="圖片 17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0" y="101600"/>
          <a:ext cx="5257800" cy="491018"/>
        </a:xfrm>
        <a:prstGeom prst="rect">
          <a:avLst/>
        </a:prstGeom>
      </xdr:spPr>
    </xdr:pic>
    <xdr:clientData/>
  </xdr:twoCellAnchor>
  <xdr:twoCellAnchor>
    <xdr:from>
      <xdr:col>7</xdr:col>
      <xdr:colOff>555625</xdr:colOff>
      <xdr:row>13</xdr:row>
      <xdr:rowOff>152400</xdr:rowOff>
    </xdr:from>
    <xdr:to>
      <xdr:col>7</xdr:col>
      <xdr:colOff>555625</xdr:colOff>
      <xdr:row>13</xdr:row>
      <xdr:rowOff>152400</xdr:rowOff>
    </xdr:to>
    <xdr:cxnSp macro="">
      <xdr:nvCxnSpPr>
        <xdr:cNvPr id="2" name="直線接點 1"/>
        <xdr:cNvCxnSpPr/>
      </xdr:nvCxnSpPr>
      <xdr:spPr bwMode="auto">
        <a:xfrm>
          <a:off x="6985000" y="3810000"/>
          <a:ext cx="0" cy="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7</xdr:col>
      <xdr:colOff>555625</xdr:colOff>
      <xdr:row>13</xdr:row>
      <xdr:rowOff>152400</xdr:rowOff>
    </xdr:from>
    <xdr:to>
      <xdr:col>7</xdr:col>
      <xdr:colOff>555625</xdr:colOff>
      <xdr:row>13</xdr:row>
      <xdr:rowOff>152400</xdr:rowOff>
    </xdr:to>
    <xdr:cxnSp macro="">
      <xdr:nvCxnSpPr>
        <xdr:cNvPr id="3" name="直線接點 2"/>
        <xdr:cNvCxnSpPr/>
      </xdr:nvCxnSpPr>
      <xdr:spPr bwMode="auto">
        <a:xfrm>
          <a:off x="6985000" y="3810000"/>
          <a:ext cx="0" cy="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15875</xdr:colOff>
      <xdr:row>3</xdr:row>
      <xdr:rowOff>114300</xdr:rowOff>
    </xdr:from>
    <xdr:to>
      <xdr:col>5</xdr:col>
      <xdr:colOff>822325</xdr:colOff>
      <xdr:row>20</xdr:row>
      <xdr:rowOff>201613</xdr:rowOff>
    </xdr:to>
    <xdr:cxnSp macro="">
      <xdr:nvCxnSpPr>
        <xdr:cNvPr id="4" name="直線接點 3"/>
        <xdr:cNvCxnSpPr/>
      </xdr:nvCxnSpPr>
      <xdr:spPr bwMode="auto">
        <a:xfrm>
          <a:off x="4445000" y="1485900"/>
          <a:ext cx="806450" cy="3973513"/>
        </a:xfrm>
        <a:prstGeom prst="line">
          <a:avLst/>
        </a:prstGeom>
        <a:solidFill>
          <a:srgbClr val="FFFFFF"/>
        </a:solidFill>
        <a:ln w="3175" cap="rnd" cmpd="sng" algn="ctr">
          <a:solidFill>
            <a:srgbClr xmlns:mc="http://schemas.openxmlformats.org/markup-compatibility/2006" xmlns:a14="http://schemas.microsoft.com/office/drawing/2010/main" val="00FF00" mc:Ignorable="a14" a14:legacySpreadsheetColorIndex="3"/>
          </a:solidFill>
          <a:prstDash val="dot"/>
          <a:round/>
          <a:headEnd type="oval" w="med" len="med"/>
          <a:tailEnd type="oval" w="med" len="med"/>
        </a:ln>
        <a:effectLst/>
      </xdr:spPr>
    </xdr:cxnSp>
    <xdr:clientData/>
  </xdr:twoCellAnchor>
  <xdr:twoCellAnchor>
    <xdr:from>
      <xdr:col>9</xdr:col>
      <xdr:colOff>284956</xdr:colOff>
      <xdr:row>6</xdr:row>
      <xdr:rowOff>109220</xdr:rowOff>
    </xdr:from>
    <xdr:to>
      <xdr:col>9</xdr:col>
      <xdr:colOff>292894</xdr:colOff>
      <xdr:row>6</xdr:row>
      <xdr:rowOff>118745</xdr:rowOff>
    </xdr:to>
    <xdr:sp macro="" textlink="">
      <xdr:nvSpPr>
        <xdr:cNvPr id="5" name="矩形 4"/>
        <xdr:cNvSpPr/>
      </xdr:nvSpPr>
      <xdr:spPr bwMode="auto">
        <a:xfrm>
          <a:off x="8714581" y="2166620"/>
          <a:ext cx="7938" cy="95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69696" mc:Ignorable="a14" a14:legacySpreadsheetColorIndex="55"/>
        </a:solidFill>
        <a:ln w="38100" cap="flat" cmpd="sng" algn="ctr">
          <a:solidFill>
            <a:srgbClr xmlns:mc="http://schemas.openxmlformats.org/markup-compatibility/2006" xmlns:a14="http://schemas.microsoft.com/office/drawing/2010/main" val="969696" mc:Ignorable="a14" a14:legacySpreadsheetColorIndex="55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zh-TW" altLang="en-US" sz="1100"/>
        </a:p>
      </xdr:txBody>
    </xdr:sp>
    <xdr:clientData/>
  </xdr:twoCellAnchor>
  <xdr:twoCellAnchor>
    <xdr:from>
      <xdr:col>5</xdr:col>
      <xdr:colOff>15875</xdr:colOff>
      <xdr:row>4</xdr:row>
      <xdr:rowOff>114300</xdr:rowOff>
    </xdr:from>
    <xdr:to>
      <xdr:col>9</xdr:col>
      <xdr:colOff>288925</xdr:colOff>
      <xdr:row>6</xdr:row>
      <xdr:rowOff>113983</xdr:rowOff>
    </xdr:to>
    <xdr:cxnSp macro="">
      <xdr:nvCxnSpPr>
        <xdr:cNvPr id="6" name="直線接點 5"/>
        <xdr:cNvCxnSpPr/>
      </xdr:nvCxnSpPr>
      <xdr:spPr bwMode="auto">
        <a:xfrm>
          <a:off x="4445000" y="1714500"/>
          <a:ext cx="4273550" cy="456883"/>
        </a:xfrm>
        <a:prstGeom prst="line">
          <a:avLst/>
        </a:prstGeom>
        <a:solidFill>
          <a:srgbClr val="FFFFFF"/>
        </a:solidFill>
        <a:ln w="3175" cap="rnd" cmpd="sng" algn="ctr">
          <a:solidFill>
            <a:srgbClr xmlns:mc="http://schemas.openxmlformats.org/markup-compatibility/2006" xmlns:a14="http://schemas.microsoft.com/office/drawing/2010/main" val="00FF00" mc:Ignorable="a14" a14:legacySpreadsheetColorIndex="3"/>
          </a:solidFill>
          <a:prstDash val="dot"/>
          <a:round/>
          <a:headEnd type="oval" w="med" len="med"/>
          <a:tailEnd type="oval" w="med" len="med"/>
        </a:ln>
        <a:effectLst/>
      </xdr:spPr>
    </xdr:cxnSp>
    <xdr:clientData/>
  </xdr:twoCellAnchor>
  <xdr:twoCellAnchor>
    <xdr:from>
      <xdr:col>9</xdr:col>
      <xdr:colOff>273368</xdr:colOff>
      <xdr:row>6</xdr:row>
      <xdr:rowOff>99219</xdr:rowOff>
    </xdr:from>
    <xdr:to>
      <xdr:col>9</xdr:col>
      <xdr:colOff>282893</xdr:colOff>
      <xdr:row>6</xdr:row>
      <xdr:rowOff>107156</xdr:rowOff>
    </xdr:to>
    <xdr:sp macro="" textlink="">
      <xdr:nvSpPr>
        <xdr:cNvPr id="7" name="矩形 6"/>
        <xdr:cNvSpPr/>
      </xdr:nvSpPr>
      <xdr:spPr bwMode="auto">
        <a:xfrm>
          <a:off x="8702993" y="2156619"/>
          <a:ext cx="9525" cy="7937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69696" mc:Ignorable="a14" a14:legacySpreadsheetColorIndex="55"/>
        </a:solidFill>
        <a:ln w="38100" cap="flat" cmpd="sng" algn="ctr">
          <a:solidFill>
            <a:srgbClr xmlns:mc="http://schemas.openxmlformats.org/markup-compatibility/2006" xmlns:a14="http://schemas.microsoft.com/office/drawing/2010/main" val="969696" mc:Ignorable="a14" a14:legacySpreadsheetColorIndex="55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zh-TW" altLang="en-US" sz="1100"/>
        </a:p>
      </xdr:txBody>
    </xdr:sp>
    <xdr:clientData/>
  </xdr:twoCellAnchor>
  <xdr:twoCellAnchor>
    <xdr:from>
      <xdr:col>5</xdr:col>
      <xdr:colOff>15875</xdr:colOff>
      <xdr:row>5</xdr:row>
      <xdr:rowOff>114300</xdr:rowOff>
    </xdr:from>
    <xdr:to>
      <xdr:col>9</xdr:col>
      <xdr:colOff>278130</xdr:colOff>
      <xdr:row>6</xdr:row>
      <xdr:rowOff>103188</xdr:rowOff>
    </xdr:to>
    <xdr:cxnSp macro="">
      <xdr:nvCxnSpPr>
        <xdr:cNvPr id="8" name="直線接點 7"/>
        <xdr:cNvCxnSpPr/>
      </xdr:nvCxnSpPr>
      <xdr:spPr bwMode="auto">
        <a:xfrm>
          <a:off x="4445000" y="1943100"/>
          <a:ext cx="4262755" cy="217488"/>
        </a:xfrm>
        <a:prstGeom prst="line">
          <a:avLst/>
        </a:prstGeom>
        <a:solidFill>
          <a:srgbClr val="FFFFFF"/>
        </a:solidFill>
        <a:ln w="3175" cap="rnd" cmpd="sng" algn="ctr">
          <a:solidFill>
            <a:srgbClr xmlns:mc="http://schemas.openxmlformats.org/markup-compatibility/2006" xmlns:a14="http://schemas.microsoft.com/office/drawing/2010/main" val="00FF00" mc:Ignorable="a14" a14:legacySpreadsheetColorIndex="3"/>
          </a:solidFill>
          <a:prstDash val="dot"/>
          <a:round/>
          <a:headEnd type="oval" w="med" len="med"/>
          <a:tailEnd type="oval" w="med" len="med"/>
        </a:ln>
        <a:effectLst/>
      </xdr:spPr>
    </xdr:cxnSp>
    <xdr:clientData/>
  </xdr:twoCellAnchor>
  <xdr:twoCellAnchor>
    <xdr:from>
      <xdr:col>9</xdr:col>
      <xdr:colOff>284956</xdr:colOff>
      <xdr:row>20</xdr:row>
      <xdr:rowOff>186055</xdr:rowOff>
    </xdr:from>
    <xdr:to>
      <xdr:col>9</xdr:col>
      <xdr:colOff>292894</xdr:colOff>
      <xdr:row>20</xdr:row>
      <xdr:rowOff>195580</xdr:rowOff>
    </xdr:to>
    <xdr:sp macro="" textlink="">
      <xdr:nvSpPr>
        <xdr:cNvPr id="9" name="矩形 8"/>
        <xdr:cNvSpPr/>
      </xdr:nvSpPr>
      <xdr:spPr bwMode="auto">
        <a:xfrm>
          <a:off x="8714581" y="5443855"/>
          <a:ext cx="7938" cy="95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69696" mc:Ignorable="a14" a14:legacySpreadsheetColorIndex="55"/>
        </a:solidFill>
        <a:ln w="38100" cap="flat" cmpd="sng" algn="ctr">
          <a:solidFill>
            <a:srgbClr xmlns:mc="http://schemas.openxmlformats.org/markup-compatibility/2006" xmlns:a14="http://schemas.microsoft.com/office/drawing/2010/main" val="969696" mc:Ignorable="a14" a14:legacySpreadsheetColorIndex="55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zh-TW" altLang="en-US" sz="1100"/>
        </a:p>
      </xdr:txBody>
    </xdr:sp>
    <xdr:clientData/>
  </xdr:twoCellAnchor>
  <xdr:twoCellAnchor>
    <xdr:from>
      <xdr:col>5</xdr:col>
      <xdr:colOff>15875</xdr:colOff>
      <xdr:row>6</xdr:row>
      <xdr:rowOff>114300</xdr:rowOff>
    </xdr:from>
    <xdr:to>
      <xdr:col>9</xdr:col>
      <xdr:colOff>288925</xdr:colOff>
      <xdr:row>20</xdr:row>
      <xdr:rowOff>190817</xdr:rowOff>
    </xdr:to>
    <xdr:cxnSp macro="">
      <xdr:nvCxnSpPr>
        <xdr:cNvPr id="10" name="直線接點 9"/>
        <xdr:cNvCxnSpPr/>
      </xdr:nvCxnSpPr>
      <xdr:spPr bwMode="auto">
        <a:xfrm>
          <a:off x="4445000" y="2171700"/>
          <a:ext cx="4273550" cy="3276917"/>
        </a:xfrm>
        <a:prstGeom prst="line">
          <a:avLst/>
        </a:prstGeom>
        <a:solidFill>
          <a:srgbClr val="FFFFFF"/>
        </a:solidFill>
        <a:ln w="3175" cap="rnd" cmpd="sng" algn="ctr">
          <a:solidFill>
            <a:srgbClr xmlns:mc="http://schemas.openxmlformats.org/markup-compatibility/2006" xmlns:a14="http://schemas.microsoft.com/office/drawing/2010/main" val="00FF00" mc:Ignorable="a14" a14:legacySpreadsheetColorIndex="3"/>
          </a:solidFill>
          <a:prstDash val="dot"/>
          <a:round/>
          <a:headEnd type="oval" w="med" len="med"/>
          <a:tailEnd type="oval" w="med" len="med"/>
        </a:ln>
        <a:effectLst/>
      </xdr:spPr>
    </xdr:cxnSp>
    <xdr:clientData/>
  </xdr:twoCellAnchor>
  <xdr:twoCellAnchor>
    <xdr:from>
      <xdr:col>5</xdr:col>
      <xdr:colOff>828358</xdr:colOff>
      <xdr:row>6</xdr:row>
      <xdr:rowOff>99219</xdr:rowOff>
    </xdr:from>
    <xdr:to>
      <xdr:col>5</xdr:col>
      <xdr:colOff>837883</xdr:colOff>
      <xdr:row>6</xdr:row>
      <xdr:rowOff>107156</xdr:rowOff>
    </xdr:to>
    <xdr:sp macro="" textlink="">
      <xdr:nvSpPr>
        <xdr:cNvPr id="11" name="矩形 10"/>
        <xdr:cNvSpPr/>
      </xdr:nvSpPr>
      <xdr:spPr bwMode="auto">
        <a:xfrm>
          <a:off x="5257483" y="2156619"/>
          <a:ext cx="9525" cy="7937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69696" mc:Ignorable="a14" a14:legacySpreadsheetColorIndex="55"/>
        </a:solidFill>
        <a:ln w="38100" cap="flat" cmpd="sng" algn="ctr">
          <a:solidFill>
            <a:srgbClr xmlns:mc="http://schemas.openxmlformats.org/markup-compatibility/2006" xmlns:a14="http://schemas.microsoft.com/office/drawing/2010/main" val="969696" mc:Ignorable="a14" a14:legacySpreadsheetColorIndex="55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zh-TW" altLang="en-US" sz="1100"/>
        </a:p>
      </xdr:txBody>
    </xdr:sp>
    <xdr:clientData/>
  </xdr:twoCellAnchor>
  <xdr:twoCellAnchor>
    <xdr:from>
      <xdr:col>5</xdr:col>
      <xdr:colOff>15875</xdr:colOff>
      <xdr:row>6</xdr:row>
      <xdr:rowOff>103188</xdr:rowOff>
    </xdr:from>
    <xdr:to>
      <xdr:col>5</xdr:col>
      <xdr:colOff>833120</xdr:colOff>
      <xdr:row>7</xdr:row>
      <xdr:rowOff>114300</xdr:rowOff>
    </xdr:to>
    <xdr:cxnSp macro="">
      <xdr:nvCxnSpPr>
        <xdr:cNvPr id="12" name="直線接點 11"/>
        <xdr:cNvCxnSpPr/>
      </xdr:nvCxnSpPr>
      <xdr:spPr bwMode="auto">
        <a:xfrm flipV="1">
          <a:off x="4445000" y="2160588"/>
          <a:ext cx="817245" cy="239712"/>
        </a:xfrm>
        <a:prstGeom prst="line">
          <a:avLst/>
        </a:prstGeom>
        <a:solidFill>
          <a:srgbClr val="FFFFFF"/>
        </a:solidFill>
        <a:ln w="3175" cap="rnd" cmpd="sng" algn="ctr">
          <a:solidFill>
            <a:srgbClr xmlns:mc="http://schemas.openxmlformats.org/markup-compatibility/2006" xmlns:a14="http://schemas.microsoft.com/office/drawing/2010/main" val="00FF00" mc:Ignorable="a14" a14:legacySpreadsheetColorIndex="3"/>
          </a:solidFill>
          <a:prstDash val="dot"/>
          <a:round/>
          <a:headEnd type="oval" w="med" len="med"/>
          <a:tailEnd type="oval" w="med" len="med"/>
        </a:ln>
        <a:effectLst/>
      </xdr:spPr>
    </xdr:cxnSp>
    <xdr:clientData/>
  </xdr:twoCellAnchor>
  <xdr:twoCellAnchor>
    <xdr:from>
      <xdr:col>9</xdr:col>
      <xdr:colOff>262572</xdr:colOff>
      <xdr:row>6</xdr:row>
      <xdr:rowOff>99219</xdr:rowOff>
    </xdr:from>
    <xdr:to>
      <xdr:col>9</xdr:col>
      <xdr:colOff>272097</xdr:colOff>
      <xdr:row>6</xdr:row>
      <xdr:rowOff>107156</xdr:rowOff>
    </xdr:to>
    <xdr:sp macro="" textlink="">
      <xdr:nvSpPr>
        <xdr:cNvPr id="13" name="矩形 12"/>
        <xdr:cNvSpPr/>
      </xdr:nvSpPr>
      <xdr:spPr bwMode="auto">
        <a:xfrm>
          <a:off x="8692197" y="2156619"/>
          <a:ext cx="9525" cy="7937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69696" mc:Ignorable="a14" a14:legacySpreadsheetColorIndex="55"/>
        </a:solidFill>
        <a:ln w="38100" cap="flat" cmpd="sng" algn="ctr">
          <a:solidFill>
            <a:srgbClr xmlns:mc="http://schemas.openxmlformats.org/markup-compatibility/2006" xmlns:a14="http://schemas.microsoft.com/office/drawing/2010/main" val="969696" mc:Ignorable="a14" a14:legacySpreadsheetColorIndex="55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zh-TW" altLang="en-US" sz="1100"/>
        </a:p>
      </xdr:txBody>
    </xdr:sp>
    <xdr:clientData/>
  </xdr:twoCellAnchor>
  <xdr:twoCellAnchor>
    <xdr:from>
      <xdr:col>5</xdr:col>
      <xdr:colOff>15875</xdr:colOff>
      <xdr:row>6</xdr:row>
      <xdr:rowOff>103188</xdr:rowOff>
    </xdr:from>
    <xdr:to>
      <xdr:col>9</xdr:col>
      <xdr:colOff>267335</xdr:colOff>
      <xdr:row>8</xdr:row>
      <xdr:rowOff>114300</xdr:rowOff>
    </xdr:to>
    <xdr:cxnSp macro="">
      <xdr:nvCxnSpPr>
        <xdr:cNvPr id="14" name="直線接點 13"/>
        <xdr:cNvCxnSpPr/>
      </xdr:nvCxnSpPr>
      <xdr:spPr bwMode="auto">
        <a:xfrm flipV="1">
          <a:off x="4445000" y="2160588"/>
          <a:ext cx="4251960" cy="468312"/>
        </a:xfrm>
        <a:prstGeom prst="line">
          <a:avLst/>
        </a:prstGeom>
        <a:solidFill>
          <a:srgbClr val="FFFFFF"/>
        </a:solidFill>
        <a:ln w="3175" cap="rnd" cmpd="sng" algn="ctr">
          <a:solidFill>
            <a:srgbClr xmlns:mc="http://schemas.openxmlformats.org/markup-compatibility/2006" xmlns:a14="http://schemas.microsoft.com/office/drawing/2010/main" val="00FF00" mc:Ignorable="a14" a14:legacySpreadsheetColorIndex="3"/>
          </a:solidFill>
          <a:prstDash val="dot"/>
          <a:round/>
          <a:headEnd type="oval" w="med" len="med"/>
          <a:tailEnd type="oval" w="med" len="med"/>
        </a:ln>
        <a:effectLst/>
      </xdr:spPr>
    </xdr:cxnSp>
    <xdr:clientData/>
  </xdr:twoCellAnchor>
  <xdr:twoCellAnchor>
    <xdr:from>
      <xdr:col>5</xdr:col>
      <xdr:colOff>839153</xdr:colOff>
      <xdr:row>6</xdr:row>
      <xdr:rowOff>99219</xdr:rowOff>
    </xdr:from>
    <xdr:to>
      <xdr:col>5</xdr:col>
      <xdr:colOff>848678</xdr:colOff>
      <xdr:row>6</xdr:row>
      <xdr:rowOff>107156</xdr:rowOff>
    </xdr:to>
    <xdr:sp macro="" textlink="">
      <xdr:nvSpPr>
        <xdr:cNvPr id="15" name="矩形 14"/>
        <xdr:cNvSpPr/>
      </xdr:nvSpPr>
      <xdr:spPr bwMode="auto">
        <a:xfrm>
          <a:off x="5268278" y="2156619"/>
          <a:ext cx="9525" cy="7937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69696" mc:Ignorable="a14" a14:legacySpreadsheetColorIndex="55"/>
        </a:solidFill>
        <a:ln w="38100" cap="flat" cmpd="sng" algn="ctr">
          <a:solidFill>
            <a:srgbClr xmlns:mc="http://schemas.openxmlformats.org/markup-compatibility/2006" xmlns:a14="http://schemas.microsoft.com/office/drawing/2010/main" val="969696" mc:Ignorable="a14" a14:legacySpreadsheetColorIndex="55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zh-TW" altLang="en-US" sz="1100"/>
        </a:p>
      </xdr:txBody>
    </xdr:sp>
    <xdr:clientData/>
  </xdr:twoCellAnchor>
  <xdr:twoCellAnchor>
    <xdr:from>
      <xdr:col>5</xdr:col>
      <xdr:colOff>15875</xdr:colOff>
      <xdr:row>6</xdr:row>
      <xdr:rowOff>103188</xdr:rowOff>
    </xdr:from>
    <xdr:to>
      <xdr:col>5</xdr:col>
      <xdr:colOff>843915</xdr:colOff>
      <xdr:row>9</xdr:row>
      <xdr:rowOff>114300</xdr:rowOff>
    </xdr:to>
    <xdr:cxnSp macro="">
      <xdr:nvCxnSpPr>
        <xdr:cNvPr id="16" name="直線接點 15"/>
        <xdr:cNvCxnSpPr/>
      </xdr:nvCxnSpPr>
      <xdr:spPr bwMode="auto">
        <a:xfrm flipV="1">
          <a:off x="4445000" y="2160588"/>
          <a:ext cx="828040" cy="696912"/>
        </a:xfrm>
        <a:prstGeom prst="line">
          <a:avLst/>
        </a:prstGeom>
        <a:solidFill>
          <a:srgbClr val="FFFFFF"/>
        </a:solidFill>
        <a:ln w="3175" cap="rnd" cmpd="sng" algn="ctr">
          <a:solidFill>
            <a:srgbClr xmlns:mc="http://schemas.openxmlformats.org/markup-compatibility/2006" xmlns:a14="http://schemas.microsoft.com/office/drawing/2010/main" val="00FF00" mc:Ignorable="a14" a14:legacySpreadsheetColorIndex="3"/>
          </a:solidFill>
          <a:prstDash val="dot"/>
          <a:round/>
          <a:headEnd type="oval" w="med" len="med"/>
          <a:tailEnd type="oval" w="med" len="med"/>
        </a:ln>
        <a:effectLst/>
      </xdr:spPr>
    </xdr:cxnSp>
    <xdr:clientData/>
  </xdr:twoCellAnchor>
  <xdr:twoCellAnchor>
    <xdr:from>
      <xdr:col>9</xdr:col>
      <xdr:colOff>284956</xdr:colOff>
      <xdr:row>20</xdr:row>
      <xdr:rowOff>175260</xdr:rowOff>
    </xdr:from>
    <xdr:to>
      <xdr:col>9</xdr:col>
      <xdr:colOff>292894</xdr:colOff>
      <xdr:row>20</xdr:row>
      <xdr:rowOff>184785</xdr:rowOff>
    </xdr:to>
    <xdr:sp macro="" textlink="">
      <xdr:nvSpPr>
        <xdr:cNvPr id="17" name="矩形 16"/>
        <xdr:cNvSpPr/>
      </xdr:nvSpPr>
      <xdr:spPr bwMode="auto">
        <a:xfrm>
          <a:off x="8714581" y="5433060"/>
          <a:ext cx="7938" cy="95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69696" mc:Ignorable="a14" a14:legacySpreadsheetColorIndex="55"/>
        </a:solidFill>
        <a:ln w="38100" cap="flat" cmpd="sng" algn="ctr">
          <a:solidFill>
            <a:srgbClr xmlns:mc="http://schemas.openxmlformats.org/markup-compatibility/2006" xmlns:a14="http://schemas.microsoft.com/office/drawing/2010/main" val="969696" mc:Ignorable="a14" a14:legacySpreadsheetColorIndex="55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zh-TW" altLang="en-US" sz="1100"/>
        </a:p>
      </xdr:txBody>
    </xdr:sp>
    <xdr:clientData/>
  </xdr:twoCellAnchor>
  <xdr:twoCellAnchor>
    <xdr:from>
      <xdr:col>5</xdr:col>
      <xdr:colOff>15875</xdr:colOff>
      <xdr:row>10</xdr:row>
      <xdr:rowOff>114300</xdr:rowOff>
    </xdr:from>
    <xdr:to>
      <xdr:col>9</xdr:col>
      <xdr:colOff>288925</xdr:colOff>
      <xdr:row>20</xdr:row>
      <xdr:rowOff>180022</xdr:rowOff>
    </xdr:to>
    <xdr:cxnSp macro="">
      <xdr:nvCxnSpPr>
        <xdr:cNvPr id="19" name="直線接點 18"/>
        <xdr:cNvCxnSpPr/>
      </xdr:nvCxnSpPr>
      <xdr:spPr bwMode="auto">
        <a:xfrm>
          <a:off x="4445000" y="3086100"/>
          <a:ext cx="4273550" cy="2351722"/>
        </a:xfrm>
        <a:prstGeom prst="line">
          <a:avLst/>
        </a:prstGeom>
        <a:solidFill>
          <a:srgbClr val="FFFFFF"/>
        </a:solidFill>
        <a:ln w="3175" cap="rnd" cmpd="sng" algn="ctr">
          <a:solidFill>
            <a:srgbClr xmlns:mc="http://schemas.openxmlformats.org/markup-compatibility/2006" xmlns:a14="http://schemas.microsoft.com/office/drawing/2010/main" val="00FF00" mc:Ignorable="a14" a14:legacySpreadsheetColorIndex="3"/>
          </a:solidFill>
          <a:prstDash val="dot"/>
          <a:round/>
          <a:headEnd type="oval" w="med" len="med"/>
          <a:tailEnd type="oval" w="med" len="med"/>
        </a:ln>
        <a:effectLst/>
      </xdr:spPr>
    </xdr:cxnSp>
    <xdr:clientData/>
  </xdr:twoCellAnchor>
  <xdr:twoCellAnchor>
    <xdr:from>
      <xdr:col>9</xdr:col>
      <xdr:colOff>284956</xdr:colOff>
      <xdr:row>6</xdr:row>
      <xdr:rowOff>120015</xdr:rowOff>
    </xdr:from>
    <xdr:to>
      <xdr:col>9</xdr:col>
      <xdr:colOff>292894</xdr:colOff>
      <xdr:row>6</xdr:row>
      <xdr:rowOff>129540</xdr:rowOff>
    </xdr:to>
    <xdr:sp macro="" textlink="">
      <xdr:nvSpPr>
        <xdr:cNvPr id="20" name="矩形 19"/>
        <xdr:cNvSpPr/>
      </xdr:nvSpPr>
      <xdr:spPr bwMode="auto">
        <a:xfrm>
          <a:off x="8714581" y="2177415"/>
          <a:ext cx="7938" cy="95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69696" mc:Ignorable="a14" a14:legacySpreadsheetColorIndex="55"/>
        </a:solidFill>
        <a:ln w="38100" cap="flat" cmpd="sng" algn="ctr">
          <a:solidFill>
            <a:srgbClr xmlns:mc="http://schemas.openxmlformats.org/markup-compatibility/2006" xmlns:a14="http://schemas.microsoft.com/office/drawing/2010/main" val="969696" mc:Ignorable="a14" a14:legacySpreadsheetColorIndex="55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zh-TW" altLang="en-US" sz="1100"/>
        </a:p>
      </xdr:txBody>
    </xdr:sp>
    <xdr:clientData/>
  </xdr:twoCellAnchor>
  <xdr:twoCellAnchor>
    <xdr:from>
      <xdr:col>5</xdr:col>
      <xdr:colOff>15875</xdr:colOff>
      <xdr:row>6</xdr:row>
      <xdr:rowOff>124777</xdr:rowOff>
    </xdr:from>
    <xdr:to>
      <xdr:col>9</xdr:col>
      <xdr:colOff>288925</xdr:colOff>
      <xdr:row>11</xdr:row>
      <xdr:rowOff>114300</xdr:rowOff>
    </xdr:to>
    <xdr:cxnSp macro="">
      <xdr:nvCxnSpPr>
        <xdr:cNvPr id="21" name="直線接點 20"/>
        <xdr:cNvCxnSpPr/>
      </xdr:nvCxnSpPr>
      <xdr:spPr bwMode="auto">
        <a:xfrm flipV="1">
          <a:off x="4445000" y="2182177"/>
          <a:ext cx="4273550" cy="1132523"/>
        </a:xfrm>
        <a:prstGeom prst="line">
          <a:avLst/>
        </a:prstGeom>
        <a:solidFill>
          <a:srgbClr val="FFFFFF"/>
        </a:solidFill>
        <a:ln w="3175" cap="rnd" cmpd="sng" algn="ctr">
          <a:solidFill>
            <a:srgbClr xmlns:mc="http://schemas.openxmlformats.org/markup-compatibility/2006" xmlns:a14="http://schemas.microsoft.com/office/drawing/2010/main" val="00FF00" mc:Ignorable="a14" a14:legacySpreadsheetColorIndex="3"/>
          </a:solidFill>
          <a:prstDash val="dot"/>
          <a:round/>
          <a:headEnd type="oval" w="med" len="med"/>
          <a:tailEnd type="oval" w="med" len="med"/>
        </a:ln>
        <a:effectLst/>
      </xdr:spPr>
    </xdr:cxnSp>
    <xdr:clientData/>
  </xdr:twoCellAnchor>
  <xdr:twoCellAnchor>
    <xdr:from>
      <xdr:col>5</xdr:col>
      <xdr:colOff>849947</xdr:colOff>
      <xdr:row>6</xdr:row>
      <xdr:rowOff>99219</xdr:rowOff>
    </xdr:from>
    <xdr:to>
      <xdr:col>5</xdr:col>
      <xdr:colOff>859472</xdr:colOff>
      <xdr:row>6</xdr:row>
      <xdr:rowOff>107156</xdr:rowOff>
    </xdr:to>
    <xdr:sp macro="" textlink="">
      <xdr:nvSpPr>
        <xdr:cNvPr id="22" name="矩形 21"/>
        <xdr:cNvSpPr/>
      </xdr:nvSpPr>
      <xdr:spPr bwMode="auto">
        <a:xfrm>
          <a:off x="5279072" y="2156619"/>
          <a:ext cx="9525" cy="7937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69696" mc:Ignorable="a14" a14:legacySpreadsheetColorIndex="55"/>
        </a:solidFill>
        <a:ln w="38100" cap="flat" cmpd="sng" algn="ctr">
          <a:solidFill>
            <a:srgbClr xmlns:mc="http://schemas.openxmlformats.org/markup-compatibility/2006" xmlns:a14="http://schemas.microsoft.com/office/drawing/2010/main" val="969696" mc:Ignorable="a14" a14:legacySpreadsheetColorIndex="55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zh-TW" altLang="en-US" sz="1100"/>
        </a:p>
      </xdr:txBody>
    </xdr:sp>
    <xdr:clientData/>
  </xdr:twoCellAnchor>
  <xdr:twoCellAnchor>
    <xdr:from>
      <xdr:col>5</xdr:col>
      <xdr:colOff>15875</xdr:colOff>
      <xdr:row>6</xdr:row>
      <xdr:rowOff>103188</xdr:rowOff>
    </xdr:from>
    <xdr:to>
      <xdr:col>5</xdr:col>
      <xdr:colOff>854710</xdr:colOff>
      <xdr:row>12</xdr:row>
      <xdr:rowOff>114300</xdr:rowOff>
    </xdr:to>
    <xdr:cxnSp macro="">
      <xdr:nvCxnSpPr>
        <xdr:cNvPr id="23" name="直線接點 22"/>
        <xdr:cNvCxnSpPr/>
      </xdr:nvCxnSpPr>
      <xdr:spPr bwMode="auto">
        <a:xfrm flipV="1">
          <a:off x="4445000" y="2160588"/>
          <a:ext cx="838835" cy="1382712"/>
        </a:xfrm>
        <a:prstGeom prst="line">
          <a:avLst/>
        </a:prstGeom>
        <a:solidFill>
          <a:srgbClr val="FFFFFF"/>
        </a:solidFill>
        <a:ln w="3175" cap="rnd" cmpd="sng" algn="ctr">
          <a:solidFill>
            <a:srgbClr xmlns:mc="http://schemas.openxmlformats.org/markup-compatibility/2006" xmlns:a14="http://schemas.microsoft.com/office/drawing/2010/main" val="00FF00" mc:Ignorable="a14" a14:legacySpreadsheetColorIndex="3"/>
          </a:solidFill>
          <a:prstDash val="dot"/>
          <a:round/>
          <a:headEnd type="oval" w="med" len="med"/>
          <a:tailEnd type="oval" w="med" len="med"/>
        </a:ln>
        <a:effectLst/>
      </xdr:spPr>
    </xdr:cxnSp>
    <xdr:clientData/>
  </xdr:twoCellAnchor>
  <xdr:twoCellAnchor>
    <xdr:from>
      <xdr:col>9</xdr:col>
      <xdr:colOff>251778</xdr:colOff>
      <xdr:row>6</xdr:row>
      <xdr:rowOff>99219</xdr:rowOff>
    </xdr:from>
    <xdr:to>
      <xdr:col>9</xdr:col>
      <xdr:colOff>261303</xdr:colOff>
      <xdr:row>6</xdr:row>
      <xdr:rowOff>107156</xdr:rowOff>
    </xdr:to>
    <xdr:sp macro="" textlink="">
      <xdr:nvSpPr>
        <xdr:cNvPr id="24" name="矩形 23"/>
        <xdr:cNvSpPr/>
      </xdr:nvSpPr>
      <xdr:spPr bwMode="auto">
        <a:xfrm>
          <a:off x="8681403" y="2156619"/>
          <a:ext cx="9525" cy="7937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69696" mc:Ignorable="a14" a14:legacySpreadsheetColorIndex="55"/>
        </a:solidFill>
        <a:ln w="38100" cap="flat" cmpd="sng" algn="ctr">
          <a:solidFill>
            <a:srgbClr xmlns:mc="http://schemas.openxmlformats.org/markup-compatibility/2006" xmlns:a14="http://schemas.microsoft.com/office/drawing/2010/main" val="969696" mc:Ignorable="a14" a14:legacySpreadsheetColorIndex="55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zh-TW" altLang="en-US" sz="1100"/>
        </a:p>
      </xdr:txBody>
    </xdr:sp>
    <xdr:clientData/>
  </xdr:twoCellAnchor>
  <xdr:twoCellAnchor>
    <xdr:from>
      <xdr:col>5</xdr:col>
      <xdr:colOff>15875</xdr:colOff>
      <xdr:row>6</xdr:row>
      <xdr:rowOff>103188</xdr:rowOff>
    </xdr:from>
    <xdr:to>
      <xdr:col>9</xdr:col>
      <xdr:colOff>256540</xdr:colOff>
      <xdr:row>13</xdr:row>
      <xdr:rowOff>114300</xdr:rowOff>
    </xdr:to>
    <xdr:cxnSp macro="">
      <xdr:nvCxnSpPr>
        <xdr:cNvPr id="25" name="直線接點 24"/>
        <xdr:cNvCxnSpPr/>
      </xdr:nvCxnSpPr>
      <xdr:spPr bwMode="auto">
        <a:xfrm flipV="1">
          <a:off x="4445000" y="2160588"/>
          <a:ext cx="4241165" cy="1611312"/>
        </a:xfrm>
        <a:prstGeom prst="line">
          <a:avLst/>
        </a:prstGeom>
        <a:solidFill>
          <a:srgbClr val="FFFFFF"/>
        </a:solidFill>
        <a:ln w="3175" cap="rnd" cmpd="sng" algn="ctr">
          <a:solidFill>
            <a:srgbClr xmlns:mc="http://schemas.openxmlformats.org/markup-compatibility/2006" xmlns:a14="http://schemas.microsoft.com/office/drawing/2010/main" val="00FF00" mc:Ignorable="a14" a14:legacySpreadsheetColorIndex="3"/>
          </a:solidFill>
          <a:prstDash val="dot"/>
          <a:round/>
          <a:headEnd type="oval" w="med" len="med"/>
          <a:tailEnd type="oval" w="med" len="med"/>
        </a:ln>
        <a:effectLst/>
      </xdr:spPr>
    </xdr:cxnSp>
    <xdr:clientData/>
  </xdr:twoCellAnchor>
  <xdr:twoCellAnchor>
    <xdr:from>
      <xdr:col>9</xdr:col>
      <xdr:colOff>284956</xdr:colOff>
      <xdr:row>20</xdr:row>
      <xdr:rowOff>164465</xdr:rowOff>
    </xdr:from>
    <xdr:to>
      <xdr:col>9</xdr:col>
      <xdr:colOff>292894</xdr:colOff>
      <xdr:row>20</xdr:row>
      <xdr:rowOff>173990</xdr:rowOff>
    </xdr:to>
    <xdr:sp macro="" textlink="">
      <xdr:nvSpPr>
        <xdr:cNvPr id="26" name="矩形 25"/>
        <xdr:cNvSpPr/>
      </xdr:nvSpPr>
      <xdr:spPr bwMode="auto">
        <a:xfrm>
          <a:off x="8714581" y="5422265"/>
          <a:ext cx="7938" cy="95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69696" mc:Ignorable="a14" a14:legacySpreadsheetColorIndex="55"/>
        </a:solidFill>
        <a:ln w="38100" cap="flat" cmpd="sng" algn="ctr">
          <a:solidFill>
            <a:srgbClr xmlns:mc="http://schemas.openxmlformats.org/markup-compatibility/2006" xmlns:a14="http://schemas.microsoft.com/office/drawing/2010/main" val="969696" mc:Ignorable="a14" a14:legacySpreadsheetColorIndex="55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zh-TW" altLang="en-US" sz="1100"/>
        </a:p>
      </xdr:txBody>
    </xdr:sp>
    <xdr:clientData/>
  </xdr:twoCellAnchor>
  <xdr:twoCellAnchor>
    <xdr:from>
      <xdr:col>5</xdr:col>
      <xdr:colOff>15875</xdr:colOff>
      <xdr:row>14</xdr:row>
      <xdr:rowOff>114300</xdr:rowOff>
    </xdr:from>
    <xdr:to>
      <xdr:col>9</xdr:col>
      <xdr:colOff>288925</xdr:colOff>
      <xdr:row>20</xdr:row>
      <xdr:rowOff>169228</xdr:rowOff>
    </xdr:to>
    <xdr:cxnSp macro="">
      <xdr:nvCxnSpPr>
        <xdr:cNvPr id="27" name="直線接點 26"/>
        <xdr:cNvCxnSpPr/>
      </xdr:nvCxnSpPr>
      <xdr:spPr bwMode="auto">
        <a:xfrm>
          <a:off x="4445000" y="4000500"/>
          <a:ext cx="4273550" cy="1426528"/>
        </a:xfrm>
        <a:prstGeom prst="line">
          <a:avLst/>
        </a:prstGeom>
        <a:solidFill>
          <a:srgbClr val="FFFFFF"/>
        </a:solidFill>
        <a:ln w="3175" cap="rnd" cmpd="sng" algn="ctr">
          <a:solidFill>
            <a:srgbClr xmlns:mc="http://schemas.openxmlformats.org/markup-compatibility/2006" xmlns:a14="http://schemas.microsoft.com/office/drawing/2010/main" val="00FF00" mc:Ignorable="a14" a14:legacySpreadsheetColorIndex="3"/>
          </a:solidFill>
          <a:prstDash val="dot"/>
          <a:round/>
          <a:headEnd type="oval" w="med" len="med"/>
          <a:tailEnd type="oval" w="med" len="med"/>
        </a:ln>
        <a:effectLst/>
      </xdr:spPr>
    </xdr:cxnSp>
    <xdr:clientData/>
  </xdr:twoCellAnchor>
  <xdr:twoCellAnchor>
    <xdr:from>
      <xdr:col>9</xdr:col>
      <xdr:colOff>284956</xdr:colOff>
      <xdr:row>6</xdr:row>
      <xdr:rowOff>130810</xdr:rowOff>
    </xdr:from>
    <xdr:to>
      <xdr:col>9</xdr:col>
      <xdr:colOff>292894</xdr:colOff>
      <xdr:row>6</xdr:row>
      <xdr:rowOff>140335</xdr:rowOff>
    </xdr:to>
    <xdr:sp macro="" textlink="">
      <xdr:nvSpPr>
        <xdr:cNvPr id="28" name="矩形 27"/>
        <xdr:cNvSpPr/>
      </xdr:nvSpPr>
      <xdr:spPr bwMode="auto">
        <a:xfrm>
          <a:off x="8714581" y="2188210"/>
          <a:ext cx="7938" cy="95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69696" mc:Ignorable="a14" a14:legacySpreadsheetColorIndex="55"/>
        </a:solidFill>
        <a:ln w="38100" cap="flat" cmpd="sng" algn="ctr">
          <a:solidFill>
            <a:srgbClr xmlns:mc="http://schemas.openxmlformats.org/markup-compatibility/2006" xmlns:a14="http://schemas.microsoft.com/office/drawing/2010/main" val="969696" mc:Ignorable="a14" a14:legacySpreadsheetColorIndex="55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zh-TW" altLang="en-US" sz="1100"/>
        </a:p>
      </xdr:txBody>
    </xdr:sp>
    <xdr:clientData/>
  </xdr:twoCellAnchor>
  <xdr:twoCellAnchor>
    <xdr:from>
      <xdr:col>5</xdr:col>
      <xdr:colOff>15875</xdr:colOff>
      <xdr:row>6</xdr:row>
      <xdr:rowOff>135573</xdr:rowOff>
    </xdr:from>
    <xdr:to>
      <xdr:col>9</xdr:col>
      <xdr:colOff>288925</xdr:colOff>
      <xdr:row>15</xdr:row>
      <xdr:rowOff>114300</xdr:rowOff>
    </xdr:to>
    <xdr:cxnSp macro="">
      <xdr:nvCxnSpPr>
        <xdr:cNvPr id="29" name="直線接點 28"/>
        <xdr:cNvCxnSpPr/>
      </xdr:nvCxnSpPr>
      <xdr:spPr bwMode="auto">
        <a:xfrm flipV="1">
          <a:off x="4445000" y="2192973"/>
          <a:ext cx="4273550" cy="2036127"/>
        </a:xfrm>
        <a:prstGeom prst="line">
          <a:avLst/>
        </a:prstGeom>
        <a:solidFill>
          <a:srgbClr val="FFFFFF"/>
        </a:solidFill>
        <a:ln w="3175" cap="rnd" cmpd="sng" algn="ctr">
          <a:solidFill>
            <a:srgbClr xmlns:mc="http://schemas.openxmlformats.org/markup-compatibility/2006" xmlns:a14="http://schemas.microsoft.com/office/drawing/2010/main" val="00FF00" mc:Ignorable="a14" a14:legacySpreadsheetColorIndex="3"/>
          </a:solidFill>
          <a:prstDash val="dot"/>
          <a:round/>
          <a:headEnd type="oval" w="med" len="med"/>
          <a:tailEnd type="oval" w="med" len="med"/>
        </a:ln>
        <a:effectLst/>
      </xdr:spPr>
    </xdr:cxnSp>
    <xdr:clientData/>
  </xdr:twoCellAnchor>
  <xdr:twoCellAnchor>
    <xdr:from>
      <xdr:col>9</xdr:col>
      <xdr:colOff>240982</xdr:colOff>
      <xdr:row>6</xdr:row>
      <xdr:rowOff>99219</xdr:rowOff>
    </xdr:from>
    <xdr:to>
      <xdr:col>9</xdr:col>
      <xdr:colOff>250507</xdr:colOff>
      <xdr:row>6</xdr:row>
      <xdr:rowOff>107156</xdr:rowOff>
    </xdr:to>
    <xdr:sp macro="" textlink="">
      <xdr:nvSpPr>
        <xdr:cNvPr id="30" name="矩形 29"/>
        <xdr:cNvSpPr/>
      </xdr:nvSpPr>
      <xdr:spPr bwMode="auto">
        <a:xfrm>
          <a:off x="8670607" y="2156619"/>
          <a:ext cx="9525" cy="7937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69696" mc:Ignorable="a14" a14:legacySpreadsheetColorIndex="55"/>
        </a:solidFill>
        <a:ln w="38100" cap="flat" cmpd="sng" algn="ctr">
          <a:solidFill>
            <a:srgbClr xmlns:mc="http://schemas.openxmlformats.org/markup-compatibility/2006" xmlns:a14="http://schemas.microsoft.com/office/drawing/2010/main" val="969696" mc:Ignorable="a14" a14:legacySpreadsheetColorIndex="55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zh-TW" altLang="en-US" sz="1100"/>
        </a:p>
      </xdr:txBody>
    </xdr:sp>
    <xdr:clientData/>
  </xdr:twoCellAnchor>
  <xdr:twoCellAnchor>
    <xdr:from>
      <xdr:col>5</xdr:col>
      <xdr:colOff>15875</xdr:colOff>
      <xdr:row>6</xdr:row>
      <xdr:rowOff>103188</xdr:rowOff>
    </xdr:from>
    <xdr:to>
      <xdr:col>9</xdr:col>
      <xdr:colOff>245745</xdr:colOff>
      <xdr:row>16</xdr:row>
      <xdr:rowOff>114300</xdr:rowOff>
    </xdr:to>
    <xdr:cxnSp macro="">
      <xdr:nvCxnSpPr>
        <xdr:cNvPr id="31" name="直線接點 30"/>
        <xdr:cNvCxnSpPr/>
      </xdr:nvCxnSpPr>
      <xdr:spPr bwMode="auto">
        <a:xfrm flipV="1">
          <a:off x="4445000" y="2160588"/>
          <a:ext cx="4230370" cy="2297112"/>
        </a:xfrm>
        <a:prstGeom prst="line">
          <a:avLst/>
        </a:prstGeom>
        <a:solidFill>
          <a:srgbClr val="FFFFFF"/>
        </a:solidFill>
        <a:ln w="3175" cap="rnd" cmpd="sng" algn="ctr">
          <a:solidFill>
            <a:srgbClr xmlns:mc="http://schemas.openxmlformats.org/markup-compatibility/2006" xmlns:a14="http://schemas.microsoft.com/office/drawing/2010/main" val="00FF00" mc:Ignorable="a14" a14:legacySpreadsheetColorIndex="3"/>
          </a:solidFill>
          <a:prstDash val="dot"/>
          <a:round/>
          <a:headEnd type="oval" w="med" len="med"/>
          <a:tailEnd type="oval" w="med" len="med"/>
        </a:ln>
        <a:effectLst/>
      </xdr:spPr>
    </xdr:cxnSp>
    <xdr:clientData/>
  </xdr:twoCellAnchor>
  <xdr:twoCellAnchor>
    <xdr:from>
      <xdr:col>9</xdr:col>
      <xdr:colOff>284956</xdr:colOff>
      <xdr:row>20</xdr:row>
      <xdr:rowOff>153670</xdr:rowOff>
    </xdr:from>
    <xdr:to>
      <xdr:col>9</xdr:col>
      <xdr:colOff>292894</xdr:colOff>
      <xdr:row>20</xdr:row>
      <xdr:rowOff>163195</xdr:rowOff>
    </xdr:to>
    <xdr:sp macro="" textlink="">
      <xdr:nvSpPr>
        <xdr:cNvPr id="62177" name="矩形 62176"/>
        <xdr:cNvSpPr/>
      </xdr:nvSpPr>
      <xdr:spPr bwMode="auto">
        <a:xfrm>
          <a:off x="8714581" y="5411470"/>
          <a:ext cx="7938" cy="95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69696" mc:Ignorable="a14" a14:legacySpreadsheetColorIndex="55"/>
        </a:solidFill>
        <a:ln w="38100" cap="flat" cmpd="sng" algn="ctr">
          <a:solidFill>
            <a:srgbClr xmlns:mc="http://schemas.openxmlformats.org/markup-compatibility/2006" xmlns:a14="http://schemas.microsoft.com/office/drawing/2010/main" val="969696" mc:Ignorable="a14" a14:legacySpreadsheetColorIndex="55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zh-TW" altLang="en-US" sz="1100"/>
        </a:p>
      </xdr:txBody>
    </xdr:sp>
    <xdr:clientData/>
  </xdr:twoCellAnchor>
  <xdr:twoCellAnchor>
    <xdr:from>
      <xdr:col>5</xdr:col>
      <xdr:colOff>15875</xdr:colOff>
      <xdr:row>17</xdr:row>
      <xdr:rowOff>114300</xdr:rowOff>
    </xdr:from>
    <xdr:to>
      <xdr:col>9</xdr:col>
      <xdr:colOff>288925</xdr:colOff>
      <xdr:row>20</xdr:row>
      <xdr:rowOff>158433</xdr:rowOff>
    </xdr:to>
    <xdr:cxnSp macro="">
      <xdr:nvCxnSpPr>
        <xdr:cNvPr id="62178" name="直線接點 62177"/>
        <xdr:cNvCxnSpPr/>
      </xdr:nvCxnSpPr>
      <xdr:spPr bwMode="auto">
        <a:xfrm>
          <a:off x="4445000" y="4686300"/>
          <a:ext cx="4273550" cy="729933"/>
        </a:xfrm>
        <a:prstGeom prst="line">
          <a:avLst/>
        </a:prstGeom>
        <a:solidFill>
          <a:srgbClr val="FFFFFF"/>
        </a:solidFill>
        <a:ln w="3175" cap="rnd" cmpd="sng" algn="ctr">
          <a:solidFill>
            <a:srgbClr xmlns:mc="http://schemas.openxmlformats.org/markup-compatibility/2006" xmlns:a14="http://schemas.microsoft.com/office/drawing/2010/main" val="00FF00" mc:Ignorable="a14" a14:legacySpreadsheetColorIndex="3"/>
          </a:solidFill>
          <a:prstDash val="dot"/>
          <a:round/>
          <a:headEnd type="oval" w="med" len="med"/>
          <a:tailEnd type="oval" w="med" len="med"/>
        </a:ln>
        <a:effectLst/>
      </xdr:spPr>
    </xdr:cxnSp>
    <xdr:clientData/>
  </xdr:twoCellAnchor>
  <xdr:twoCellAnchor>
    <xdr:from>
      <xdr:col>5</xdr:col>
      <xdr:colOff>860742</xdr:colOff>
      <xdr:row>6</xdr:row>
      <xdr:rowOff>99219</xdr:rowOff>
    </xdr:from>
    <xdr:to>
      <xdr:col>5</xdr:col>
      <xdr:colOff>870267</xdr:colOff>
      <xdr:row>6</xdr:row>
      <xdr:rowOff>107156</xdr:rowOff>
    </xdr:to>
    <xdr:sp macro="" textlink="">
      <xdr:nvSpPr>
        <xdr:cNvPr id="62179" name="矩形 62178"/>
        <xdr:cNvSpPr/>
      </xdr:nvSpPr>
      <xdr:spPr bwMode="auto">
        <a:xfrm>
          <a:off x="5289867" y="2156619"/>
          <a:ext cx="9525" cy="7937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69696" mc:Ignorable="a14" a14:legacySpreadsheetColorIndex="55"/>
        </a:solidFill>
        <a:ln w="38100" cap="flat" cmpd="sng" algn="ctr">
          <a:solidFill>
            <a:srgbClr xmlns:mc="http://schemas.openxmlformats.org/markup-compatibility/2006" xmlns:a14="http://schemas.microsoft.com/office/drawing/2010/main" val="969696" mc:Ignorable="a14" a14:legacySpreadsheetColorIndex="55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zh-TW" altLang="en-US" sz="1100"/>
        </a:p>
      </xdr:txBody>
    </xdr:sp>
    <xdr:clientData/>
  </xdr:twoCellAnchor>
  <xdr:twoCellAnchor>
    <xdr:from>
      <xdr:col>5</xdr:col>
      <xdr:colOff>15875</xdr:colOff>
      <xdr:row>6</xdr:row>
      <xdr:rowOff>103188</xdr:rowOff>
    </xdr:from>
    <xdr:to>
      <xdr:col>5</xdr:col>
      <xdr:colOff>865505</xdr:colOff>
      <xdr:row>18</xdr:row>
      <xdr:rowOff>114300</xdr:rowOff>
    </xdr:to>
    <xdr:cxnSp macro="">
      <xdr:nvCxnSpPr>
        <xdr:cNvPr id="62180" name="直線接點 62179"/>
        <xdr:cNvCxnSpPr/>
      </xdr:nvCxnSpPr>
      <xdr:spPr bwMode="auto">
        <a:xfrm flipV="1">
          <a:off x="4445000" y="2160588"/>
          <a:ext cx="849630" cy="2754312"/>
        </a:xfrm>
        <a:prstGeom prst="line">
          <a:avLst/>
        </a:prstGeom>
        <a:solidFill>
          <a:srgbClr val="FFFFFF"/>
        </a:solidFill>
        <a:ln w="3175" cap="rnd" cmpd="sng" algn="ctr">
          <a:solidFill>
            <a:srgbClr xmlns:mc="http://schemas.openxmlformats.org/markup-compatibility/2006" xmlns:a14="http://schemas.microsoft.com/office/drawing/2010/main" val="00FF00" mc:Ignorable="a14" a14:legacySpreadsheetColorIndex="3"/>
          </a:solidFill>
          <a:prstDash val="dot"/>
          <a:round/>
          <a:headEnd type="oval" w="med" len="med"/>
          <a:tailEnd type="oval" w="med" len="med"/>
        </a:ln>
        <a:effectLst/>
      </xdr:spPr>
    </xdr:cxnSp>
    <xdr:clientData/>
  </xdr:twoCellAnchor>
  <xdr:twoCellAnchor>
    <xdr:from>
      <xdr:col>9</xdr:col>
      <xdr:colOff>284956</xdr:colOff>
      <xdr:row>6</xdr:row>
      <xdr:rowOff>141605</xdr:rowOff>
    </xdr:from>
    <xdr:to>
      <xdr:col>9</xdr:col>
      <xdr:colOff>292894</xdr:colOff>
      <xdr:row>6</xdr:row>
      <xdr:rowOff>151130</xdr:rowOff>
    </xdr:to>
    <xdr:sp macro="" textlink="">
      <xdr:nvSpPr>
        <xdr:cNvPr id="62181" name="矩形 62180"/>
        <xdr:cNvSpPr/>
      </xdr:nvSpPr>
      <xdr:spPr bwMode="auto">
        <a:xfrm>
          <a:off x="8714581" y="2199005"/>
          <a:ext cx="7938" cy="95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69696" mc:Ignorable="a14" a14:legacySpreadsheetColorIndex="55"/>
        </a:solidFill>
        <a:ln w="38100" cap="flat" cmpd="sng" algn="ctr">
          <a:solidFill>
            <a:srgbClr xmlns:mc="http://schemas.openxmlformats.org/markup-compatibility/2006" xmlns:a14="http://schemas.microsoft.com/office/drawing/2010/main" val="969696" mc:Ignorable="a14" a14:legacySpreadsheetColorIndex="55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zh-TW" altLang="en-US" sz="1100"/>
        </a:p>
      </xdr:txBody>
    </xdr:sp>
    <xdr:clientData/>
  </xdr:twoCellAnchor>
  <xdr:twoCellAnchor>
    <xdr:from>
      <xdr:col>5</xdr:col>
      <xdr:colOff>15875</xdr:colOff>
      <xdr:row>6</xdr:row>
      <xdr:rowOff>146367</xdr:rowOff>
    </xdr:from>
    <xdr:to>
      <xdr:col>9</xdr:col>
      <xdr:colOff>288925</xdr:colOff>
      <xdr:row>19</xdr:row>
      <xdr:rowOff>114300</xdr:rowOff>
    </xdr:to>
    <xdr:cxnSp macro="">
      <xdr:nvCxnSpPr>
        <xdr:cNvPr id="62182" name="直線接點 62181"/>
        <xdr:cNvCxnSpPr/>
      </xdr:nvCxnSpPr>
      <xdr:spPr bwMode="auto">
        <a:xfrm flipV="1">
          <a:off x="4445000" y="2203767"/>
          <a:ext cx="4273550" cy="2939733"/>
        </a:xfrm>
        <a:prstGeom prst="line">
          <a:avLst/>
        </a:prstGeom>
        <a:solidFill>
          <a:srgbClr val="FFFFFF"/>
        </a:solidFill>
        <a:ln w="3175" cap="rnd" cmpd="sng" algn="ctr">
          <a:solidFill>
            <a:srgbClr xmlns:mc="http://schemas.openxmlformats.org/markup-compatibility/2006" xmlns:a14="http://schemas.microsoft.com/office/drawing/2010/main" val="00FF00" mc:Ignorable="a14" a14:legacySpreadsheetColorIndex="3"/>
          </a:solidFill>
          <a:prstDash val="dot"/>
          <a:round/>
          <a:headEnd type="oval" w="med" len="med"/>
          <a:tailEnd type="oval" w="med" len="med"/>
        </a:ln>
        <a:effectLst/>
      </xdr:spPr>
    </xdr:cxnSp>
    <xdr:clientData/>
  </xdr:twoCellAnchor>
  <xdr:twoCellAnchor>
    <xdr:from>
      <xdr:col>9</xdr:col>
      <xdr:colOff>273368</xdr:colOff>
      <xdr:row>20</xdr:row>
      <xdr:rowOff>197644</xdr:rowOff>
    </xdr:from>
    <xdr:to>
      <xdr:col>9</xdr:col>
      <xdr:colOff>282893</xdr:colOff>
      <xdr:row>20</xdr:row>
      <xdr:rowOff>205581</xdr:rowOff>
    </xdr:to>
    <xdr:sp macro="" textlink="">
      <xdr:nvSpPr>
        <xdr:cNvPr id="62183" name="矩形 62182"/>
        <xdr:cNvSpPr/>
      </xdr:nvSpPr>
      <xdr:spPr bwMode="auto">
        <a:xfrm>
          <a:off x="8702993" y="5455444"/>
          <a:ext cx="9525" cy="7937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69696" mc:Ignorable="a14" a14:legacySpreadsheetColorIndex="55"/>
        </a:solidFill>
        <a:ln w="38100" cap="flat" cmpd="sng" algn="ctr">
          <a:solidFill>
            <a:srgbClr xmlns:mc="http://schemas.openxmlformats.org/markup-compatibility/2006" xmlns:a14="http://schemas.microsoft.com/office/drawing/2010/main" val="969696" mc:Ignorable="a14" a14:legacySpreadsheetColorIndex="55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zh-TW" altLang="en-US" sz="1100"/>
        </a:p>
      </xdr:txBody>
    </xdr:sp>
    <xdr:clientData/>
  </xdr:twoCellAnchor>
  <xdr:twoCellAnchor>
    <xdr:from>
      <xdr:col>5</xdr:col>
      <xdr:colOff>15875</xdr:colOff>
      <xdr:row>20</xdr:row>
      <xdr:rowOff>114300</xdr:rowOff>
    </xdr:from>
    <xdr:to>
      <xdr:col>9</xdr:col>
      <xdr:colOff>278130</xdr:colOff>
      <xdr:row>20</xdr:row>
      <xdr:rowOff>201613</xdr:rowOff>
    </xdr:to>
    <xdr:cxnSp macro="">
      <xdr:nvCxnSpPr>
        <xdr:cNvPr id="62184" name="直線接點 62183"/>
        <xdr:cNvCxnSpPr/>
      </xdr:nvCxnSpPr>
      <xdr:spPr bwMode="auto">
        <a:xfrm>
          <a:off x="4445000" y="5372100"/>
          <a:ext cx="4262755" cy="87313"/>
        </a:xfrm>
        <a:prstGeom prst="line">
          <a:avLst/>
        </a:prstGeom>
        <a:solidFill>
          <a:srgbClr val="FFFFFF"/>
        </a:solidFill>
        <a:ln w="3175" cap="rnd" cmpd="sng" algn="ctr">
          <a:solidFill>
            <a:srgbClr xmlns:mc="http://schemas.openxmlformats.org/markup-compatibility/2006" xmlns:a14="http://schemas.microsoft.com/office/drawing/2010/main" val="00FF00" mc:Ignorable="a14" a14:legacySpreadsheetColorIndex="3"/>
          </a:solidFill>
          <a:prstDash val="dot"/>
          <a:round/>
          <a:headEnd type="oval" w="med" len="med"/>
          <a:tailEnd type="oval" w="med" len="med"/>
        </a:ln>
        <a:effectLst/>
      </xdr:spPr>
    </xdr:cxnSp>
    <xdr:clientData/>
  </xdr:twoCellAnchor>
  <xdr:twoCellAnchor>
    <xdr:from>
      <xdr:col>5</xdr:col>
      <xdr:colOff>818356</xdr:colOff>
      <xdr:row>6</xdr:row>
      <xdr:rowOff>109220</xdr:rowOff>
    </xdr:from>
    <xdr:to>
      <xdr:col>5</xdr:col>
      <xdr:colOff>826294</xdr:colOff>
      <xdr:row>6</xdr:row>
      <xdr:rowOff>118745</xdr:rowOff>
    </xdr:to>
    <xdr:sp macro="" textlink="">
      <xdr:nvSpPr>
        <xdr:cNvPr id="62185" name="矩形 62184"/>
        <xdr:cNvSpPr/>
      </xdr:nvSpPr>
      <xdr:spPr bwMode="auto">
        <a:xfrm>
          <a:off x="5247481" y="2166620"/>
          <a:ext cx="7938" cy="95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69696" mc:Ignorable="a14" a14:legacySpreadsheetColorIndex="55"/>
        </a:solidFill>
        <a:ln w="38100" cap="flat" cmpd="sng" algn="ctr">
          <a:solidFill>
            <a:srgbClr xmlns:mc="http://schemas.openxmlformats.org/markup-compatibility/2006" xmlns:a14="http://schemas.microsoft.com/office/drawing/2010/main" val="969696" mc:Ignorable="a14" a14:legacySpreadsheetColorIndex="55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zh-TW" altLang="en-US" sz="1100"/>
        </a:p>
      </xdr:txBody>
    </xdr:sp>
    <xdr:clientData/>
  </xdr:twoCellAnchor>
  <xdr:twoCellAnchor>
    <xdr:from>
      <xdr:col>5</xdr:col>
      <xdr:colOff>15875</xdr:colOff>
      <xdr:row>6</xdr:row>
      <xdr:rowOff>113983</xdr:rowOff>
    </xdr:from>
    <xdr:to>
      <xdr:col>5</xdr:col>
      <xdr:colOff>822325</xdr:colOff>
      <xdr:row>21</xdr:row>
      <xdr:rowOff>114300</xdr:rowOff>
    </xdr:to>
    <xdr:cxnSp macro="">
      <xdr:nvCxnSpPr>
        <xdr:cNvPr id="62186" name="直線接點 62185"/>
        <xdr:cNvCxnSpPr/>
      </xdr:nvCxnSpPr>
      <xdr:spPr bwMode="auto">
        <a:xfrm flipV="1">
          <a:off x="4445000" y="2171383"/>
          <a:ext cx="806450" cy="3429317"/>
        </a:xfrm>
        <a:prstGeom prst="line">
          <a:avLst/>
        </a:prstGeom>
        <a:solidFill>
          <a:srgbClr val="FFFFFF"/>
        </a:solidFill>
        <a:ln w="3175" cap="rnd" cmpd="sng" algn="ctr">
          <a:solidFill>
            <a:srgbClr xmlns:mc="http://schemas.openxmlformats.org/markup-compatibility/2006" xmlns:a14="http://schemas.microsoft.com/office/drawing/2010/main" val="00FF00" mc:Ignorable="a14" a14:legacySpreadsheetColorIndex="3"/>
          </a:solidFill>
          <a:prstDash val="dot"/>
          <a:round/>
          <a:headEnd type="oval" w="med" len="med"/>
          <a:tailEnd type="oval" w="med" len="med"/>
        </a:ln>
        <a:effectLst/>
      </xdr:spPr>
    </xdr:cxnSp>
    <xdr:clientData/>
  </xdr:twoCellAnchor>
  <xdr:twoCellAnchor>
    <xdr:from>
      <xdr:col>5</xdr:col>
      <xdr:colOff>828358</xdr:colOff>
      <xdr:row>20</xdr:row>
      <xdr:rowOff>197644</xdr:rowOff>
    </xdr:from>
    <xdr:to>
      <xdr:col>5</xdr:col>
      <xdr:colOff>837883</xdr:colOff>
      <xdr:row>20</xdr:row>
      <xdr:rowOff>205581</xdr:rowOff>
    </xdr:to>
    <xdr:sp macro="" textlink="">
      <xdr:nvSpPr>
        <xdr:cNvPr id="62187" name="矩形 62186"/>
        <xdr:cNvSpPr/>
      </xdr:nvSpPr>
      <xdr:spPr bwMode="auto">
        <a:xfrm>
          <a:off x="5257483" y="5455444"/>
          <a:ext cx="9525" cy="7937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69696" mc:Ignorable="a14" a14:legacySpreadsheetColorIndex="55"/>
        </a:solidFill>
        <a:ln w="38100" cap="flat" cmpd="sng" algn="ctr">
          <a:solidFill>
            <a:srgbClr xmlns:mc="http://schemas.openxmlformats.org/markup-compatibility/2006" xmlns:a14="http://schemas.microsoft.com/office/drawing/2010/main" val="969696" mc:Ignorable="a14" a14:legacySpreadsheetColorIndex="55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zh-TW" altLang="en-US" sz="1100"/>
        </a:p>
      </xdr:txBody>
    </xdr:sp>
    <xdr:clientData/>
  </xdr:twoCellAnchor>
  <xdr:twoCellAnchor>
    <xdr:from>
      <xdr:col>5</xdr:col>
      <xdr:colOff>15875</xdr:colOff>
      <xdr:row>20</xdr:row>
      <xdr:rowOff>201613</xdr:rowOff>
    </xdr:from>
    <xdr:to>
      <xdr:col>5</xdr:col>
      <xdr:colOff>833120</xdr:colOff>
      <xdr:row>22</xdr:row>
      <xdr:rowOff>114300</xdr:rowOff>
    </xdr:to>
    <xdr:cxnSp macro="">
      <xdr:nvCxnSpPr>
        <xdr:cNvPr id="62188" name="直線接點 62187"/>
        <xdr:cNvCxnSpPr/>
      </xdr:nvCxnSpPr>
      <xdr:spPr bwMode="auto">
        <a:xfrm flipV="1">
          <a:off x="4445000" y="5459413"/>
          <a:ext cx="817245" cy="369887"/>
        </a:xfrm>
        <a:prstGeom prst="line">
          <a:avLst/>
        </a:prstGeom>
        <a:solidFill>
          <a:srgbClr val="FFFFFF"/>
        </a:solidFill>
        <a:ln w="3175" cap="rnd" cmpd="sng" algn="ctr">
          <a:solidFill>
            <a:srgbClr xmlns:mc="http://schemas.openxmlformats.org/markup-compatibility/2006" xmlns:a14="http://schemas.microsoft.com/office/drawing/2010/main" val="00FF00" mc:Ignorable="a14" a14:legacySpreadsheetColorIndex="3"/>
          </a:solidFill>
          <a:prstDash val="dot"/>
          <a:round/>
          <a:headEnd type="oval" w="med" len="med"/>
          <a:tailEnd type="oval" w="med" len="med"/>
        </a:ln>
        <a:effectLst/>
      </xdr:spPr>
    </xdr:cxnSp>
    <xdr:clientData/>
  </xdr:twoCellAnchor>
  <xdr:twoCellAnchor>
    <xdr:from>
      <xdr:col>5</xdr:col>
      <xdr:colOff>818356</xdr:colOff>
      <xdr:row>20</xdr:row>
      <xdr:rowOff>186055</xdr:rowOff>
    </xdr:from>
    <xdr:to>
      <xdr:col>5</xdr:col>
      <xdr:colOff>826294</xdr:colOff>
      <xdr:row>20</xdr:row>
      <xdr:rowOff>195580</xdr:rowOff>
    </xdr:to>
    <xdr:sp macro="" textlink="">
      <xdr:nvSpPr>
        <xdr:cNvPr id="62189" name="矩形 62188"/>
        <xdr:cNvSpPr/>
      </xdr:nvSpPr>
      <xdr:spPr bwMode="auto">
        <a:xfrm>
          <a:off x="5247481" y="5443855"/>
          <a:ext cx="7938" cy="95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69696" mc:Ignorable="a14" a14:legacySpreadsheetColorIndex="55"/>
        </a:solidFill>
        <a:ln w="38100" cap="flat" cmpd="sng" algn="ctr">
          <a:solidFill>
            <a:srgbClr xmlns:mc="http://schemas.openxmlformats.org/markup-compatibility/2006" xmlns:a14="http://schemas.microsoft.com/office/drawing/2010/main" val="969696" mc:Ignorable="a14" a14:legacySpreadsheetColorIndex="55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zh-TW" altLang="en-US" sz="1100"/>
        </a:p>
      </xdr:txBody>
    </xdr:sp>
    <xdr:clientData/>
  </xdr:twoCellAnchor>
  <xdr:twoCellAnchor>
    <xdr:from>
      <xdr:col>5</xdr:col>
      <xdr:colOff>15875</xdr:colOff>
      <xdr:row>20</xdr:row>
      <xdr:rowOff>190817</xdr:rowOff>
    </xdr:from>
    <xdr:to>
      <xdr:col>5</xdr:col>
      <xdr:colOff>822325</xdr:colOff>
      <xdr:row>23</xdr:row>
      <xdr:rowOff>114300</xdr:rowOff>
    </xdr:to>
    <xdr:cxnSp macro="">
      <xdr:nvCxnSpPr>
        <xdr:cNvPr id="62190" name="直線接點 62189"/>
        <xdr:cNvCxnSpPr/>
      </xdr:nvCxnSpPr>
      <xdr:spPr bwMode="auto">
        <a:xfrm flipV="1">
          <a:off x="4445000" y="5448617"/>
          <a:ext cx="806450" cy="609283"/>
        </a:xfrm>
        <a:prstGeom prst="line">
          <a:avLst/>
        </a:prstGeom>
        <a:solidFill>
          <a:srgbClr val="FFFFFF"/>
        </a:solidFill>
        <a:ln w="3175" cap="rnd" cmpd="sng" algn="ctr">
          <a:solidFill>
            <a:srgbClr xmlns:mc="http://schemas.openxmlformats.org/markup-compatibility/2006" xmlns:a14="http://schemas.microsoft.com/office/drawing/2010/main" val="00FF00" mc:Ignorable="a14" a14:legacySpreadsheetColorIndex="3"/>
          </a:solidFill>
          <a:prstDash val="dot"/>
          <a:round/>
          <a:headEnd type="oval" w="med" len="med"/>
          <a:tailEnd type="oval" w="med" len="med"/>
        </a:ln>
        <a:effectLst/>
      </xdr:spPr>
    </xdr:cxnSp>
    <xdr:clientData/>
  </xdr:twoCellAnchor>
  <xdr:twoCellAnchor>
    <xdr:from>
      <xdr:col>5</xdr:col>
      <xdr:colOff>839153</xdr:colOff>
      <xdr:row>20</xdr:row>
      <xdr:rowOff>197644</xdr:rowOff>
    </xdr:from>
    <xdr:to>
      <xdr:col>5</xdr:col>
      <xdr:colOff>848678</xdr:colOff>
      <xdr:row>20</xdr:row>
      <xdr:rowOff>205581</xdr:rowOff>
    </xdr:to>
    <xdr:sp macro="" textlink="">
      <xdr:nvSpPr>
        <xdr:cNvPr id="62191" name="矩形 62190"/>
        <xdr:cNvSpPr/>
      </xdr:nvSpPr>
      <xdr:spPr bwMode="auto">
        <a:xfrm>
          <a:off x="5268278" y="5455444"/>
          <a:ext cx="9525" cy="7937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69696" mc:Ignorable="a14" a14:legacySpreadsheetColorIndex="55"/>
        </a:solidFill>
        <a:ln w="38100" cap="flat" cmpd="sng" algn="ctr">
          <a:solidFill>
            <a:srgbClr xmlns:mc="http://schemas.openxmlformats.org/markup-compatibility/2006" xmlns:a14="http://schemas.microsoft.com/office/drawing/2010/main" val="969696" mc:Ignorable="a14" a14:legacySpreadsheetColorIndex="55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zh-TW" altLang="en-US" sz="1100"/>
        </a:p>
      </xdr:txBody>
    </xdr:sp>
    <xdr:clientData/>
  </xdr:twoCellAnchor>
  <xdr:twoCellAnchor>
    <xdr:from>
      <xdr:col>5</xdr:col>
      <xdr:colOff>15875</xdr:colOff>
      <xdr:row>20</xdr:row>
      <xdr:rowOff>201613</xdr:rowOff>
    </xdr:from>
    <xdr:to>
      <xdr:col>5</xdr:col>
      <xdr:colOff>843915</xdr:colOff>
      <xdr:row>24</xdr:row>
      <xdr:rowOff>114300</xdr:rowOff>
    </xdr:to>
    <xdr:cxnSp macro="">
      <xdr:nvCxnSpPr>
        <xdr:cNvPr id="62192" name="直線接點 62191"/>
        <xdr:cNvCxnSpPr/>
      </xdr:nvCxnSpPr>
      <xdr:spPr bwMode="auto">
        <a:xfrm flipV="1">
          <a:off x="4445000" y="5459413"/>
          <a:ext cx="828040" cy="827087"/>
        </a:xfrm>
        <a:prstGeom prst="line">
          <a:avLst/>
        </a:prstGeom>
        <a:solidFill>
          <a:srgbClr val="FFFFFF"/>
        </a:solidFill>
        <a:ln w="3175" cap="rnd" cmpd="sng" algn="ctr">
          <a:solidFill>
            <a:srgbClr xmlns:mc="http://schemas.openxmlformats.org/markup-compatibility/2006" xmlns:a14="http://schemas.microsoft.com/office/drawing/2010/main" val="00FF00" mc:Ignorable="a14" a14:legacySpreadsheetColorIndex="3"/>
          </a:solidFill>
          <a:prstDash val="dot"/>
          <a:round/>
          <a:headEnd type="oval" w="med" len="med"/>
          <a:tailEnd type="oval" w="med" len="med"/>
        </a:ln>
        <a:effectLst/>
      </xdr:spPr>
    </xdr:cxnSp>
    <xdr:clientData/>
  </xdr:twoCellAnchor>
  <xdr:twoCellAnchor>
    <xdr:from>
      <xdr:col>5</xdr:col>
      <xdr:colOff>818356</xdr:colOff>
      <xdr:row>20</xdr:row>
      <xdr:rowOff>175260</xdr:rowOff>
    </xdr:from>
    <xdr:to>
      <xdr:col>5</xdr:col>
      <xdr:colOff>826294</xdr:colOff>
      <xdr:row>20</xdr:row>
      <xdr:rowOff>184785</xdr:rowOff>
    </xdr:to>
    <xdr:sp macro="" textlink="">
      <xdr:nvSpPr>
        <xdr:cNvPr id="62193" name="矩形 62192"/>
        <xdr:cNvSpPr/>
      </xdr:nvSpPr>
      <xdr:spPr bwMode="auto">
        <a:xfrm>
          <a:off x="5247481" y="5433060"/>
          <a:ext cx="7938" cy="95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69696" mc:Ignorable="a14" a14:legacySpreadsheetColorIndex="55"/>
        </a:solidFill>
        <a:ln w="38100" cap="flat" cmpd="sng" algn="ctr">
          <a:solidFill>
            <a:srgbClr xmlns:mc="http://schemas.openxmlformats.org/markup-compatibility/2006" xmlns:a14="http://schemas.microsoft.com/office/drawing/2010/main" val="969696" mc:Ignorable="a14" a14:legacySpreadsheetColorIndex="55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zh-TW" altLang="en-US" sz="1100"/>
        </a:p>
      </xdr:txBody>
    </xdr:sp>
    <xdr:clientData/>
  </xdr:twoCellAnchor>
  <xdr:twoCellAnchor>
    <xdr:from>
      <xdr:col>5</xdr:col>
      <xdr:colOff>15875</xdr:colOff>
      <xdr:row>20</xdr:row>
      <xdr:rowOff>180022</xdr:rowOff>
    </xdr:from>
    <xdr:to>
      <xdr:col>5</xdr:col>
      <xdr:colOff>822325</xdr:colOff>
      <xdr:row>25</xdr:row>
      <xdr:rowOff>114300</xdr:rowOff>
    </xdr:to>
    <xdr:cxnSp macro="">
      <xdr:nvCxnSpPr>
        <xdr:cNvPr id="62194" name="直線接點 62193"/>
        <xdr:cNvCxnSpPr/>
      </xdr:nvCxnSpPr>
      <xdr:spPr bwMode="auto">
        <a:xfrm flipV="1">
          <a:off x="4445000" y="5437822"/>
          <a:ext cx="806450" cy="1077278"/>
        </a:xfrm>
        <a:prstGeom prst="line">
          <a:avLst/>
        </a:prstGeom>
        <a:solidFill>
          <a:srgbClr val="FFFFFF"/>
        </a:solidFill>
        <a:ln w="3175" cap="rnd" cmpd="sng" algn="ctr">
          <a:solidFill>
            <a:srgbClr xmlns:mc="http://schemas.openxmlformats.org/markup-compatibility/2006" xmlns:a14="http://schemas.microsoft.com/office/drawing/2010/main" val="00FF00" mc:Ignorable="a14" a14:legacySpreadsheetColorIndex="3"/>
          </a:solidFill>
          <a:prstDash val="dot"/>
          <a:round/>
          <a:headEnd type="oval" w="med" len="med"/>
          <a:tailEnd type="oval" w="med" len="med"/>
        </a:ln>
        <a:effectLst/>
      </xdr:spPr>
    </xdr:cxnSp>
    <xdr:clientData/>
  </xdr:twoCellAnchor>
  <xdr:twoCellAnchor>
    <xdr:from>
      <xdr:col>9</xdr:col>
      <xdr:colOff>262572</xdr:colOff>
      <xdr:row>20</xdr:row>
      <xdr:rowOff>197644</xdr:rowOff>
    </xdr:from>
    <xdr:to>
      <xdr:col>9</xdr:col>
      <xdr:colOff>272097</xdr:colOff>
      <xdr:row>20</xdr:row>
      <xdr:rowOff>205581</xdr:rowOff>
    </xdr:to>
    <xdr:sp macro="" textlink="">
      <xdr:nvSpPr>
        <xdr:cNvPr id="62195" name="矩形 62194"/>
        <xdr:cNvSpPr/>
      </xdr:nvSpPr>
      <xdr:spPr bwMode="auto">
        <a:xfrm>
          <a:off x="8692197" y="5455444"/>
          <a:ext cx="9525" cy="7937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69696" mc:Ignorable="a14" a14:legacySpreadsheetColorIndex="55"/>
        </a:solidFill>
        <a:ln w="38100" cap="flat" cmpd="sng" algn="ctr">
          <a:solidFill>
            <a:srgbClr xmlns:mc="http://schemas.openxmlformats.org/markup-compatibility/2006" xmlns:a14="http://schemas.microsoft.com/office/drawing/2010/main" val="969696" mc:Ignorable="a14" a14:legacySpreadsheetColorIndex="55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zh-TW" altLang="en-US" sz="1100"/>
        </a:p>
      </xdr:txBody>
    </xdr:sp>
    <xdr:clientData/>
  </xdr:twoCellAnchor>
  <xdr:twoCellAnchor>
    <xdr:from>
      <xdr:col>5</xdr:col>
      <xdr:colOff>15875</xdr:colOff>
      <xdr:row>20</xdr:row>
      <xdr:rowOff>201613</xdr:rowOff>
    </xdr:from>
    <xdr:to>
      <xdr:col>9</xdr:col>
      <xdr:colOff>267335</xdr:colOff>
      <xdr:row>26</xdr:row>
      <xdr:rowOff>114300</xdr:rowOff>
    </xdr:to>
    <xdr:cxnSp macro="">
      <xdr:nvCxnSpPr>
        <xdr:cNvPr id="62196" name="直線接點 62195"/>
        <xdr:cNvCxnSpPr/>
      </xdr:nvCxnSpPr>
      <xdr:spPr bwMode="auto">
        <a:xfrm flipV="1">
          <a:off x="4445000" y="5459413"/>
          <a:ext cx="4251960" cy="1284287"/>
        </a:xfrm>
        <a:prstGeom prst="line">
          <a:avLst/>
        </a:prstGeom>
        <a:solidFill>
          <a:srgbClr val="FFFFFF"/>
        </a:solidFill>
        <a:ln w="3175" cap="rnd" cmpd="sng" algn="ctr">
          <a:solidFill>
            <a:srgbClr xmlns:mc="http://schemas.openxmlformats.org/markup-compatibility/2006" xmlns:a14="http://schemas.microsoft.com/office/drawing/2010/main" val="00FF00" mc:Ignorable="a14" a14:legacySpreadsheetColorIndex="3"/>
          </a:solidFill>
          <a:prstDash val="dot"/>
          <a:round/>
          <a:headEnd type="oval" w="med" len="med"/>
          <a:tailEnd type="oval" w="med" len="med"/>
        </a:ln>
        <a:effectLst/>
      </xdr:spPr>
    </xdr:cxnSp>
    <xdr:clientData/>
  </xdr:twoCellAnchor>
  <xdr:twoCellAnchor>
    <xdr:from>
      <xdr:col>5</xdr:col>
      <xdr:colOff>818356</xdr:colOff>
      <xdr:row>6</xdr:row>
      <xdr:rowOff>120015</xdr:rowOff>
    </xdr:from>
    <xdr:to>
      <xdr:col>5</xdr:col>
      <xdr:colOff>826294</xdr:colOff>
      <xdr:row>6</xdr:row>
      <xdr:rowOff>129540</xdr:rowOff>
    </xdr:to>
    <xdr:sp macro="" textlink="">
      <xdr:nvSpPr>
        <xdr:cNvPr id="62197" name="矩形 62196"/>
        <xdr:cNvSpPr/>
      </xdr:nvSpPr>
      <xdr:spPr bwMode="auto">
        <a:xfrm>
          <a:off x="5247481" y="2177415"/>
          <a:ext cx="7938" cy="95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69696" mc:Ignorable="a14" a14:legacySpreadsheetColorIndex="55"/>
        </a:solidFill>
        <a:ln w="38100" cap="flat" cmpd="sng" algn="ctr">
          <a:solidFill>
            <a:srgbClr xmlns:mc="http://schemas.openxmlformats.org/markup-compatibility/2006" xmlns:a14="http://schemas.microsoft.com/office/drawing/2010/main" val="969696" mc:Ignorable="a14" a14:legacySpreadsheetColorIndex="55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zh-TW" altLang="en-US" sz="1100"/>
        </a:p>
      </xdr:txBody>
    </xdr:sp>
    <xdr:clientData/>
  </xdr:twoCellAnchor>
  <xdr:twoCellAnchor>
    <xdr:from>
      <xdr:col>5</xdr:col>
      <xdr:colOff>15875</xdr:colOff>
      <xdr:row>6</xdr:row>
      <xdr:rowOff>124777</xdr:rowOff>
    </xdr:from>
    <xdr:to>
      <xdr:col>5</xdr:col>
      <xdr:colOff>822325</xdr:colOff>
      <xdr:row>27</xdr:row>
      <xdr:rowOff>114300</xdr:rowOff>
    </xdr:to>
    <xdr:cxnSp macro="">
      <xdr:nvCxnSpPr>
        <xdr:cNvPr id="62198" name="直線接點 62197"/>
        <xdr:cNvCxnSpPr/>
      </xdr:nvCxnSpPr>
      <xdr:spPr bwMode="auto">
        <a:xfrm flipV="1">
          <a:off x="4445000" y="2182177"/>
          <a:ext cx="806450" cy="4790123"/>
        </a:xfrm>
        <a:prstGeom prst="line">
          <a:avLst/>
        </a:prstGeom>
        <a:solidFill>
          <a:srgbClr val="FFFFFF"/>
        </a:solidFill>
        <a:ln w="3175" cap="rnd" cmpd="sng" algn="ctr">
          <a:solidFill>
            <a:srgbClr xmlns:mc="http://schemas.openxmlformats.org/markup-compatibility/2006" xmlns:a14="http://schemas.microsoft.com/office/drawing/2010/main" val="00FF00" mc:Ignorable="a14" a14:legacySpreadsheetColorIndex="3"/>
          </a:solidFill>
          <a:prstDash val="dot"/>
          <a:round/>
          <a:headEnd type="oval" w="med" len="med"/>
          <a:tailEnd type="oval" w="med" len="med"/>
        </a:ln>
        <a:effectLst/>
      </xdr:spPr>
    </xdr:cxnSp>
    <xdr:clientData/>
  </xdr:twoCellAnchor>
  <xdr:twoCellAnchor>
    <xdr:from>
      <xdr:col>5</xdr:col>
      <xdr:colOff>849947</xdr:colOff>
      <xdr:row>20</xdr:row>
      <xdr:rowOff>197644</xdr:rowOff>
    </xdr:from>
    <xdr:to>
      <xdr:col>5</xdr:col>
      <xdr:colOff>859472</xdr:colOff>
      <xdr:row>20</xdr:row>
      <xdr:rowOff>205581</xdr:rowOff>
    </xdr:to>
    <xdr:sp macro="" textlink="">
      <xdr:nvSpPr>
        <xdr:cNvPr id="62199" name="矩形 62198"/>
        <xdr:cNvSpPr/>
      </xdr:nvSpPr>
      <xdr:spPr bwMode="auto">
        <a:xfrm>
          <a:off x="5279072" y="5455444"/>
          <a:ext cx="9525" cy="7937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69696" mc:Ignorable="a14" a14:legacySpreadsheetColorIndex="55"/>
        </a:solidFill>
        <a:ln w="38100" cap="flat" cmpd="sng" algn="ctr">
          <a:solidFill>
            <a:srgbClr xmlns:mc="http://schemas.openxmlformats.org/markup-compatibility/2006" xmlns:a14="http://schemas.microsoft.com/office/drawing/2010/main" val="969696" mc:Ignorable="a14" a14:legacySpreadsheetColorIndex="55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zh-TW" altLang="en-US" sz="1100"/>
        </a:p>
      </xdr:txBody>
    </xdr:sp>
    <xdr:clientData/>
  </xdr:twoCellAnchor>
  <xdr:twoCellAnchor>
    <xdr:from>
      <xdr:col>5</xdr:col>
      <xdr:colOff>15875</xdr:colOff>
      <xdr:row>20</xdr:row>
      <xdr:rowOff>201613</xdr:rowOff>
    </xdr:from>
    <xdr:to>
      <xdr:col>5</xdr:col>
      <xdr:colOff>854710</xdr:colOff>
      <xdr:row>28</xdr:row>
      <xdr:rowOff>114300</xdr:rowOff>
    </xdr:to>
    <xdr:cxnSp macro="">
      <xdr:nvCxnSpPr>
        <xdr:cNvPr id="62200" name="直線接點 62199"/>
        <xdr:cNvCxnSpPr/>
      </xdr:nvCxnSpPr>
      <xdr:spPr bwMode="auto">
        <a:xfrm flipV="1">
          <a:off x="4445000" y="5459413"/>
          <a:ext cx="838835" cy="1741487"/>
        </a:xfrm>
        <a:prstGeom prst="line">
          <a:avLst/>
        </a:prstGeom>
        <a:solidFill>
          <a:srgbClr val="FFFFFF"/>
        </a:solidFill>
        <a:ln w="3175" cap="rnd" cmpd="sng" algn="ctr">
          <a:solidFill>
            <a:srgbClr xmlns:mc="http://schemas.openxmlformats.org/markup-compatibility/2006" xmlns:a14="http://schemas.microsoft.com/office/drawing/2010/main" val="00FF00" mc:Ignorable="a14" a14:legacySpreadsheetColorIndex="3"/>
          </a:solidFill>
          <a:prstDash val="dot"/>
          <a:round/>
          <a:headEnd type="oval" w="med" len="med"/>
          <a:tailEnd type="oval" w="med" len="med"/>
        </a:ln>
        <a:effectLst/>
      </xdr:spPr>
    </xdr:cxnSp>
    <xdr:clientData/>
  </xdr:twoCellAnchor>
  <xdr:twoCellAnchor>
    <xdr:from>
      <xdr:col>5</xdr:col>
      <xdr:colOff>818356</xdr:colOff>
      <xdr:row>6</xdr:row>
      <xdr:rowOff>130810</xdr:rowOff>
    </xdr:from>
    <xdr:to>
      <xdr:col>5</xdr:col>
      <xdr:colOff>826294</xdr:colOff>
      <xdr:row>6</xdr:row>
      <xdr:rowOff>140335</xdr:rowOff>
    </xdr:to>
    <xdr:sp macro="" textlink="">
      <xdr:nvSpPr>
        <xdr:cNvPr id="62201" name="矩形 62200"/>
        <xdr:cNvSpPr/>
      </xdr:nvSpPr>
      <xdr:spPr bwMode="auto">
        <a:xfrm>
          <a:off x="5247481" y="2188210"/>
          <a:ext cx="7938" cy="95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69696" mc:Ignorable="a14" a14:legacySpreadsheetColorIndex="55"/>
        </a:solidFill>
        <a:ln w="38100" cap="flat" cmpd="sng" algn="ctr">
          <a:solidFill>
            <a:srgbClr xmlns:mc="http://schemas.openxmlformats.org/markup-compatibility/2006" xmlns:a14="http://schemas.microsoft.com/office/drawing/2010/main" val="969696" mc:Ignorable="a14" a14:legacySpreadsheetColorIndex="55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zh-TW" altLang="en-US" sz="1100"/>
        </a:p>
      </xdr:txBody>
    </xdr:sp>
    <xdr:clientData/>
  </xdr:twoCellAnchor>
  <xdr:twoCellAnchor>
    <xdr:from>
      <xdr:col>5</xdr:col>
      <xdr:colOff>15875</xdr:colOff>
      <xdr:row>6</xdr:row>
      <xdr:rowOff>135573</xdr:rowOff>
    </xdr:from>
    <xdr:to>
      <xdr:col>5</xdr:col>
      <xdr:colOff>822325</xdr:colOff>
      <xdr:row>29</xdr:row>
      <xdr:rowOff>114300</xdr:rowOff>
    </xdr:to>
    <xdr:cxnSp macro="">
      <xdr:nvCxnSpPr>
        <xdr:cNvPr id="62202" name="直線接點 62201"/>
        <xdr:cNvCxnSpPr/>
      </xdr:nvCxnSpPr>
      <xdr:spPr bwMode="auto">
        <a:xfrm flipV="1">
          <a:off x="4445000" y="2192973"/>
          <a:ext cx="806450" cy="5236527"/>
        </a:xfrm>
        <a:prstGeom prst="line">
          <a:avLst/>
        </a:prstGeom>
        <a:solidFill>
          <a:srgbClr val="FFFFFF"/>
        </a:solidFill>
        <a:ln w="3175" cap="rnd" cmpd="sng" algn="ctr">
          <a:solidFill>
            <a:srgbClr xmlns:mc="http://schemas.openxmlformats.org/markup-compatibility/2006" xmlns:a14="http://schemas.microsoft.com/office/drawing/2010/main" val="00FF00" mc:Ignorable="a14" a14:legacySpreadsheetColorIndex="3"/>
          </a:solidFill>
          <a:prstDash val="dot"/>
          <a:round/>
          <a:headEnd type="oval" w="med" len="med"/>
          <a:tailEnd type="oval" w="med" len="med"/>
        </a:ln>
        <a:effectLst/>
      </xdr:spPr>
    </xdr:cxnSp>
    <xdr:clientData/>
  </xdr:twoCellAnchor>
  <xdr:twoCellAnchor>
    <xdr:from>
      <xdr:col>5</xdr:col>
      <xdr:colOff>818356</xdr:colOff>
      <xdr:row>20</xdr:row>
      <xdr:rowOff>164465</xdr:rowOff>
    </xdr:from>
    <xdr:to>
      <xdr:col>5</xdr:col>
      <xdr:colOff>826294</xdr:colOff>
      <xdr:row>20</xdr:row>
      <xdr:rowOff>173990</xdr:rowOff>
    </xdr:to>
    <xdr:sp macro="" textlink="">
      <xdr:nvSpPr>
        <xdr:cNvPr id="62203" name="矩形 62202"/>
        <xdr:cNvSpPr/>
      </xdr:nvSpPr>
      <xdr:spPr bwMode="auto">
        <a:xfrm>
          <a:off x="5247481" y="5422265"/>
          <a:ext cx="7938" cy="95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69696" mc:Ignorable="a14" a14:legacySpreadsheetColorIndex="55"/>
        </a:solidFill>
        <a:ln w="38100" cap="flat" cmpd="sng" algn="ctr">
          <a:solidFill>
            <a:srgbClr xmlns:mc="http://schemas.openxmlformats.org/markup-compatibility/2006" xmlns:a14="http://schemas.microsoft.com/office/drawing/2010/main" val="969696" mc:Ignorable="a14" a14:legacySpreadsheetColorIndex="55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zh-TW" altLang="en-US" sz="1100"/>
        </a:p>
      </xdr:txBody>
    </xdr:sp>
    <xdr:clientData/>
  </xdr:twoCellAnchor>
  <xdr:twoCellAnchor>
    <xdr:from>
      <xdr:col>5</xdr:col>
      <xdr:colOff>15875</xdr:colOff>
      <xdr:row>20</xdr:row>
      <xdr:rowOff>169228</xdr:rowOff>
    </xdr:from>
    <xdr:to>
      <xdr:col>5</xdr:col>
      <xdr:colOff>822325</xdr:colOff>
      <xdr:row>30</xdr:row>
      <xdr:rowOff>114300</xdr:rowOff>
    </xdr:to>
    <xdr:cxnSp macro="">
      <xdr:nvCxnSpPr>
        <xdr:cNvPr id="62204" name="直線接點 62203"/>
        <xdr:cNvCxnSpPr/>
      </xdr:nvCxnSpPr>
      <xdr:spPr bwMode="auto">
        <a:xfrm flipV="1">
          <a:off x="4445000" y="5427028"/>
          <a:ext cx="806450" cy="2231072"/>
        </a:xfrm>
        <a:prstGeom prst="line">
          <a:avLst/>
        </a:prstGeom>
        <a:solidFill>
          <a:srgbClr val="FFFFFF"/>
        </a:solidFill>
        <a:ln w="3175" cap="rnd" cmpd="sng" algn="ctr">
          <a:solidFill>
            <a:srgbClr xmlns:mc="http://schemas.openxmlformats.org/markup-compatibility/2006" xmlns:a14="http://schemas.microsoft.com/office/drawing/2010/main" val="00FF00" mc:Ignorable="a14" a14:legacySpreadsheetColorIndex="3"/>
          </a:solidFill>
          <a:prstDash val="dot"/>
          <a:round/>
          <a:headEnd type="oval" w="med" len="med"/>
          <a:tailEnd type="oval" w="med" len="med"/>
        </a:ln>
        <a:effectLst/>
      </xdr:spPr>
    </xdr:cxnSp>
    <xdr:clientData/>
  </xdr:twoCellAnchor>
  <xdr:twoCellAnchor>
    <xdr:from>
      <xdr:col>9</xdr:col>
      <xdr:colOff>251778</xdr:colOff>
      <xdr:row>20</xdr:row>
      <xdr:rowOff>197644</xdr:rowOff>
    </xdr:from>
    <xdr:to>
      <xdr:col>9</xdr:col>
      <xdr:colOff>261303</xdr:colOff>
      <xdr:row>20</xdr:row>
      <xdr:rowOff>205581</xdr:rowOff>
    </xdr:to>
    <xdr:sp macro="" textlink="">
      <xdr:nvSpPr>
        <xdr:cNvPr id="62205" name="矩形 62204"/>
        <xdr:cNvSpPr/>
      </xdr:nvSpPr>
      <xdr:spPr bwMode="auto">
        <a:xfrm>
          <a:off x="8681403" y="5455444"/>
          <a:ext cx="9525" cy="7937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69696" mc:Ignorable="a14" a14:legacySpreadsheetColorIndex="55"/>
        </a:solidFill>
        <a:ln w="38100" cap="flat" cmpd="sng" algn="ctr">
          <a:solidFill>
            <a:srgbClr xmlns:mc="http://schemas.openxmlformats.org/markup-compatibility/2006" xmlns:a14="http://schemas.microsoft.com/office/drawing/2010/main" val="969696" mc:Ignorable="a14" a14:legacySpreadsheetColorIndex="55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zh-TW" altLang="en-US" sz="1100"/>
        </a:p>
      </xdr:txBody>
    </xdr:sp>
    <xdr:clientData/>
  </xdr:twoCellAnchor>
  <xdr:twoCellAnchor>
    <xdr:from>
      <xdr:col>5</xdr:col>
      <xdr:colOff>15875</xdr:colOff>
      <xdr:row>20</xdr:row>
      <xdr:rowOff>201613</xdr:rowOff>
    </xdr:from>
    <xdr:to>
      <xdr:col>9</xdr:col>
      <xdr:colOff>256540</xdr:colOff>
      <xdr:row>31</xdr:row>
      <xdr:rowOff>114300</xdr:rowOff>
    </xdr:to>
    <xdr:cxnSp macro="">
      <xdr:nvCxnSpPr>
        <xdr:cNvPr id="62206" name="直線接點 62205"/>
        <xdr:cNvCxnSpPr/>
      </xdr:nvCxnSpPr>
      <xdr:spPr bwMode="auto">
        <a:xfrm flipV="1">
          <a:off x="4445000" y="5459413"/>
          <a:ext cx="4241165" cy="2427287"/>
        </a:xfrm>
        <a:prstGeom prst="line">
          <a:avLst/>
        </a:prstGeom>
        <a:solidFill>
          <a:srgbClr val="FFFFFF"/>
        </a:solidFill>
        <a:ln w="3175" cap="rnd" cmpd="sng" algn="ctr">
          <a:solidFill>
            <a:srgbClr xmlns:mc="http://schemas.openxmlformats.org/markup-compatibility/2006" xmlns:a14="http://schemas.microsoft.com/office/drawing/2010/main" val="00FF00" mc:Ignorable="a14" a14:legacySpreadsheetColorIndex="3"/>
          </a:solidFill>
          <a:prstDash val="dot"/>
          <a:round/>
          <a:headEnd type="oval" w="med" len="med"/>
          <a:tailEnd type="oval" w="med" len="med"/>
        </a:ln>
        <a:effectLst/>
      </xdr:spPr>
    </xdr:cxnSp>
    <xdr:clientData/>
  </xdr:twoCellAnchor>
  <xdr:twoCellAnchor>
    <xdr:from>
      <xdr:col>9</xdr:col>
      <xdr:colOff>240982</xdr:colOff>
      <xdr:row>20</xdr:row>
      <xdr:rowOff>197644</xdr:rowOff>
    </xdr:from>
    <xdr:to>
      <xdr:col>9</xdr:col>
      <xdr:colOff>250507</xdr:colOff>
      <xdr:row>20</xdr:row>
      <xdr:rowOff>205581</xdr:rowOff>
    </xdr:to>
    <xdr:sp macro="" textlink="">
      <xdr:nvSpPr>
        <xdr:cNvPr id="62207" name="矩形 62206"/>
        <xdr:cNvSpPr/>
      </xdr:nvSpPr>
      <xdr:spPr bwMode="auto">
        <a:xfrm>
          <a:off x="8670607" y="5455444"/>
          <a:ext cx="9525" cy="7937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69696" mc:Ignorable="a14" a14:legacySpreadsheetColorIndex="55"/>
        </a:solidFill>
        <a:ln w="38100" cap="flat" cmpd="sng" algn="ctr">
          <a:solidFill>
            <a:srgbClr xmlns:mc="http://schemas.openxmlformats.org/markup-compatibility/2006" xmlns:a14="http://schemas.microsoft.com/office/drawing/2010/main" val="969696" mc:Ignorable="a14" a14:legacySpreadsheetColorIndex="55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zh-TW" altLang="en-US" sz="1100"/>
        </a:p>
      </xdr:txBody>
    </xdr:sp>
    <xdr:clientData/>
  </xdr:twoCellAnchor>
  <xdr:twoCellAnchor>
    <xdr:from>
      <xdr:col>5</xdr:col>
      <xdr:colOff>15875</xdr:colOff>
      <xdr:row>20</xdr:row>
      <xdr:rowOff>201613</xdr:rowOff>
    </xdr:from>
    <xdr:to>
      <xdr:col>9</xdr:col>
      <xdr:colOff>245745</xdr:colOff>
      <xdr:row>32</xdr:row>
      <xdr:rowOff>114300</xdr:rowOff>
    </xdr:to>
    <xdr:cxnSp macro="">
      <xdr:nvCxnSpPr>
        <xdr:cNvPr id="62208" name="直線接點 62207"/>
        <xdr:cNvCxnSpPr/>
      </xdr:nvCxnSpPr>
      <xdr:spPr bwMode="auto">
        <a:xfrm flipV="1">
          <a:off x="4445000" y="5459413"/>
          <a:ext cx="4230370" cy="2655887"/>
        </a:xfrm>
        <a:prstGeom prst="line">
          <a:avLst/>
        </a:prstGeom>
        <a:solidFill>
          <a:srgbClr val="FFFFFF"/>
        </a:solidFill>
        <a:ln w="3175" cap="rnd" cmpd="sng" algn="ctr">
          <a:solidFill>
            <a:srgbClr xmlns:mc="http://schemas.openxmlformats.org/markup-compatibility/2006" xmlns:a14="http://schemas.microsoft.com/office/drawing/2010/main" val="00FF00" mc:Ignorable="a14" a14:legacySpreadsheetColorIndex="3"/>
          </a:solidFill>
          <a:prstDash val="dot"/>
          <a:round/>
          <a:headEnd type="oval" w="med" len="med"/>
          <a:tailEnd type="oval" w="med" len="med"/>
        </a:ln>
        <a:effectLst/>
      </xdr:spPr>
    </xdr:cxnSp>
    <xdr:clientData/>
  </xdr:twoCellAnchor>
  <xdr:twoCellAnchor>
    <xdr:from>
      <xdr:col>5</xdr:col>
      <xdr:colOff>818356</xdr:colOff>
      <xdr:row>20</xdr:row>
      <xdr:rowOff>153670</xdr:rowOff>
    </xdr:from>
    <xdr:to>
      <xdr:col>5</xdr:col>
      <xdr:colOff>826294</xdr:colOff>
      <xdr:row>20</xdr:row>
      <xdr:rowOff>163195</xdr:rowOff>
    </xdr:to>
    <xdr:sp macro="" textlink="">
      <xdr:nvSpPr>
        <xdr:cNvPr id="62209" name="矩形 62208"/>
        <xdr:cNvSpPr/>
      </xdr:nvSpPr>
      <xdr:spPr bwMode="auto">
        <a:xfrm>
          <a:off x="5247481" y="5411470"/>
          <a:ext cx="7938" cy="95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69696" mc:Ignorable="a14" a14:legacySpreadsheetColorIndex="55"/>
        </a:solidFill>
        <a:ln w="38100" cap="flat" cmpd="sng" algn="ctr">
          <a:solidFill>
            <a:srgbClr xmlns:mc="http://schemas.openxmlformats.org/markup-compatibility/2006" xmlns:a14="http://schemas.microsoft.com/office/drawing/2010/main" val="969696" mc:Ignorable="a14" a14:legacySpreadsheetColorIndex="55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zh-TW" altLang="en-US" sz="1100"/>
        </a:p>
      </xdr:txBody>
    </xdr:sp>
    <xdr:clientData/>
  </xdr:twoCellAnchor>
  <xdr:twoCellAnchor>
    <xdr:from>
      <xdr:col>5</xdr:col>
      <xdr:colOff>15875</xdr:colOff>
      <xdr:row>20</xdr:row>
      <xdr:rowOff>158433</xdr:rowOff>
    </xdr:from>
    <xdr:to>
      <xdr:col>5</xdr:col>
      <xdr:colOff>822325</xdr:colOff>
      <xdr:row>33</xdr:row>
      <xdr:rowOff>114300</xdr:rowOff>
    </xdr:to>
    <xdr:cxnSp macro="">
      <xdr:nvCxnSpPr>
        <xdr:cNvPr id="62210" name="直線接點 62209"/>
        <xdr:cNvCxnSpPr/>
      </xdr:nvCxnSpPr>
      <xdr:spPr bwMode="auto">
        <a:xfrm flipV="1">
          <a:off x="4445000" y="5416233"/>
          <a:ext cx="806450" cy="2927667"/>
        </a:xfrm>
        <a:prstGeom prst="line">
          <a:avLst/>
        </a:prstGeom>
        <a:solidFill>
          <a:srgbClr val="FFFFFF"/>
        </a:solidFill>
        <a:ln w="3175" cap="rnd" cmpd="sng" algn="ctr">
          <a:solidFill>
            <a:srgbClr xmlns:mc="http://schemas.openxmlformats.org/markup-compatibility/2006" xmlns:a14="http://schemas.microsoft.com/office/drawing/2010/main" val="00FF00" mc:Ignorable="a14" a14:legacySpreadsheetColorIndex="3"/>
          </a:solidFill>
          <a:prstDash val="dot"/>
          <a:round/>
          <a:headEnd type="oval" w="med" len="med"/>
          <a:tailEnd type="oval" w="med" len="med"/>
        </a:ln>
        <a:effectLst/>
      </xdr:spPr>
    </xdr:cxnSp>
    <xdr:clientData/>
  </xdr:twoCellAnchor>
  <xdr:twoCellAnchor>
    <xdr:from>
      <xdr:col>5</xdr:col>
      <xdr:colOff>818356</xdr:colOff>
      <xdr:row>6</xdr:row>
      <xdr:rowOff>141605</xdr:rowOff>
    </xdr:from>
    <xdr:to>
      <xdr:col>5</xdr:col>
      <xdr:colOff>826294</xdr:colOff>
      <xdr:row>6</xdr:row>
      <xdr:rowOff>151130</xdr:rowOff>
    </xdr:to>
    <xdr:sp macro="" textlink="">
      <xdr:nvSpPr>
        <xdr:cNvPr id="62211" name="矩形 62210"/>
        <xdr:cNvSpPr/>
      </xdr:nvSpPr>
      <xdr:spPr bwMode="auto">
        <a:xfrm>
          <a:off x="5247481" y="2199005"/>
          <a:ext cx="7938" cy="95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69696" mc:Ignorable="a14" a14:legacySpreadsheetColorIndex="55"/>
        </a:solidFill>
        <a:ln w="38100" cap="flat" cmpd="sng" algn="ctr">
          <a:solidFill>
            <a:srgbClr xmlns:mc="http://schemas.openxmlformats.org/markup-compatibility/2006" xmlns:a14="http://schemas.microsoft.com/office/drawing/2010/main" val="969696" mc:Ignorable="a14" a14:legacySpreadsheetColorIndex="55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zh-TW" altLang="en-US" sz="1100"/>
        </a:p>
      </xdr:txBody>
    </xdr:sp>
    <xdr:clientData/>
  </xdr:twoCellAnchor>
  <xdr:twoCellAnchor>
    <xdr:from>
      <xdr:col>5</xdr:col>
      <xdr:colOff>15875</xdr:colOff>
      <xdr:row>6</xdr:row>
      <xdr:rowOff>146367</xdr:rowOff>
    </xdr:from>
    <xdr:to>
      <xdr:col>5</xdr:col>
      <xdr:colOff>822325</xdr:colOff>
      <xdr:row>34</xdr:row>
      <xdr:rowOff>114300</xdr:rowOff>
    </xdr:to>
    <xdr:cxnSp macro="">
      <xdr:nvCxnSpPr>
        <xdr:cNvPr id="62212" name="直線接點 62211"/>
        <xdr:cNvCxnSpPr/>
      </xdr:nvCxnSpPr>
      <xdr:spPr bwMode="auto">
        <a:xfrm flipV="1">
          <a:off x="4445000" y="2203767"/>
          <a:ext cx="806450" cy="6368733"/>
        </a:xfrm>
        <a:prstGeom prst="line">
          <a:avLst/>
        </a:prstGeom>
        <a:solidFill>
          <a:srgbClr val="FFFFFF"/>
        </a:solidFill>
        <a:ln w="3175" cap="rnd" cmpd="sng" algn="ctr">
          <a:solidFill>
            <a:srgbClr xmlns:mc="http://schemas.openxmlformats.org/markup-compatibility/2006" xmlns:a14="http://schemas.microsoft.com/office/drawing/2010/main" val="00FF00" mc:Ignorable="a14" a14:legacySpreadsheetColorIndex="3"/>
          </a:solidFill>
          <a:prstDash val="dot"/>
          <a:round/>
          <a:headEnd type="oval" w="med" len="med"/>
          <a:tailEnd type="oval" w="med" len="med"/>
        </a:ln>
        <a:effectLst/>
      </xdr:spPr>
    </xdr:cxnSp>
    <xdr:clientData/>
  </xdr:twoCellAnchor>
  <xdr:twoCellAnchor>
    <xdr:from>
      <xdr:col>5</xdr:col>
      <xdr:colOff>860742</xdr:colOff>
      <xdr:row>20</xdr:row>
      <xdr:rowOff>197644</xdr:rowOff>
    </xdr:from>
    <xdr:to>
      <xdr:col>5</xdr:col>
      <xdr:colOff>870267</xdr:colOff>
      <xdr:row>20</xdr:row>
      <xdr:rowOff>205581</xdr:rowOff>
    </xdr:to>
    <xdr:sp macro="" textlink="">
      <xdr:nvSpPr>
        <xdr:cNvPr id="62213" name="矩形 62212"/>
        <xdr:cNvSpPr/>
      </xdr:nvSpPr>
      <xdr:spPr bwMode="auto">
        <a:xfrm>
          <a:off x="5289867" y="5455444"/>
          <a:ext cx="9525" cy="7937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69696" mc:Ignorable="a14" a14:legacySpreadsheetColorIndex="55"/>
        </a:solidFill>
        <a:ln w="38100" cap="flat" cmpd="sng" algn="ctr">
          <a:solidFill>
            <a:srgbClr xmlns:mc="http://schemas.openxmlformats.org/markup-compatibility/2006" xmlns:a14="http://schemas.microsoft.com/office/drawing/2010/main" val="969696" mc:Ignorable="a14" a14:legacySpreadsheetColorIndex="55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zh-TW" altLang="en-US" sz="1100"/>
        </a:p>
      </xdr:txBody>
    </xdr:sp>
    <xdr:clientData/>
  </xdr:twoCellAnchor>
  <xdr:twoCellAnchor>
    <xdr:from>
      <xdr:col>5</xdr:col>
      <xdr:colOff>15875</xdr:colOff>
      <xdr:row>20</xdr:row>
      <xdr:rowOff>201613</xdr:rowOff>
    </xdr:from>
    <xdr:to>
      <xdr:col>5</xdr:col>
      <xdr:colOff>865505</xdr:colOff>
      <xdr:row>35</xdr:row>
      <xdr:rowOff>114300</xdr:rowOff>
    </xdr:to>
    <xdr:cxnSp macro="">
      <xdr:nvCxnSpPr>
        <xdr:cNvPr id="62214" name="直線接點 62213"/>
        <xdr:cNvCxnSpPr/>
      </xdr:nvCxnSpPr>
      <xdr:spPr bwMode="auto">
        <a:xfrm flipV="1">
          <a:off x="4445000" y="5459413"/>
          <a:ext cx="849630" cy="3341687"/>
        </a:xfrm>
        <a:prstGeom prst="line">
          <a:avLst/>
        </a:prstGeom>
        <a:solidFill>
          <a:srgbClr val="FFFFFF"/>
        </a:solidFill>
        <a:ln w="3175" cap="rnd" cmpd="sng" algn="ctr">
          <a:solidFill>
            <a:srgbClr xmlns:mc="http://schemas.openxmlformats.org/markup-compatibility/2006" xmlns:a14="http://schemas.microsoft.com/office/drawing/2010/main" val="00FF00" mc:Ignorable="a14" a14:legacySpreadsheetColorIndex="3"/>
          </a:solidFill>
          <a:prstDash val="dot"/>
          <a:round/>
          <a:headEnd type="oval" w="med" len="med"/>
          <a:tailEnd type="oval" w="med" len="med"/>
        </a:ln>
        <a:effectLst/>
      </xdr:spPr>
    </xdr:cxnSp>
    <xdr:clientData/>
  </xdr:twoCellAnchor>
  <xdr:twoCellAnchor>
    <xdr:from>
      <xdr:col>8</xdr:col>
      <xdr:colOff>714375</xdr:colOff>
      <xdr:row>6</xdr:row>
      <xdr:rowOff>109220</xdr:rowOff>
    </xdr:from>
    <xdr:to>
      <xdr:col>9</xdr:col>
      <xdr:colOff>276225</xdr:colOff>
      <xdr:row>6</xdr:row>
      <xdr:rowOff>117158</xdr:rowOff>
    </xdr:to>
    <xdr:sp macro="" textlink="">
      <xdr:nvSpPr>
        <xdr:cNvPr id="62215" name="矩形 62214"/>
        <xdr:cNvSpPr/>
      </xdr:nvSpPr>
      <xdr:spPr bwMode="auto">
        <a:xfrm>
          <a:off x="8143875" y="2166620"/>
          <a:ext cx="561975" cy="793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69696" mc:Ignorable="a14" a14:legacySpreadsheetColorIndex="55"/>
        </a:solidFill>
        <a:ln w="38100" cap="flat" cmpd="sng" algn="ctr">
          <a:solidFill>
            <a:srgbClr xmlns:mc="http://schemas.openxmlformats.org/markup-compatibility/2006" xmlns:a14="http://schemas.microsoft.com/office/drawing/2010/main" val="969696" mc:Ignorable="a14" a14:legacySpreadsheetColorIndex="55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zh-TW" altLang="en-US" sz="1100"/>
        </a:p>
      </xdr:txBody>
    </xdr:sp>
    <xdr:clientData/>
  </xdr:twoCellAnchor>
  <xdr:twoCellAnchor>
    <xdr:from>
      <xdr:col>5</xdr:col>
      <xdr:colOff>15875</xdr:colOff>
      <xdr:row>6</xdr:row>
      <xdr:rowOff>113189</xdr:rowOff>
    </xdr:from>
    <xdr:to>
      <xdr:col>8</xdr:col>
      <xdr:colOff>995363</xdr:colOff>
      <xdr:row>36</xdr:row>
      <xdr:rowOff>114300</xdr:rowOff>
    </xdr:to>
    <xdr:cxnSp macro="">
      <xdr:nvCxnSpPr>
        <xdr:cNvPr id="62216" name="直線接點 62215"/>
        <xdr:cNvCxnSpPr/>
      </xdr:nvCxnSpPr>
      <xdr:spPr bwMode="auto">
        <a:xfrm flipV="1">
          <a:off x="4445000" y="2170589"/>
          <a:ext cx="3979863" cy="6859111"/>
        </a:xfrm>
        <a:prstGeom prst="line">
          <a:avLst/>
        </a:prstGeom>
        <a:solidFill>
          <a:srgbClr val="FFFFFF"/>
        </a:solidFill>
        <a:ln w="3175" cap="rnd" cmpd="sng" algn="ctr">
          <a:solidFill>
            <a:srgbClr xmlns:mc="http://schemas.openxmlformats.org/markup-compatibility/2006" xmlns:a14="http://schemas.microsoft.com/office/drawing/2010/main" val="00FF00" mc:Ignorable="a14" a14:legacySpreadsheetColorIndex="3"/>
          </a:solidFill>
          <a:prstDash val="dot"/>
          <a:round/>
          <a:headEnd type="oval" w="med" len="med"/>
          <a:tailEnd type="oval" w="med" len="med"/>
        </a:ln>
        <a:effectLst/>
      </xdr:spPr>
    </xdr:cxnSp>
    <xdr:clientData/>
  </xdr:twoCellAnchor>
  <xdr:twoCellAnchor>
    <xdr:from>
      <xdr:col>5</xdr:col>
      <xdr:colOff>871220</xdr:colOff>
      <xdr:row>20</xdr:row>
      <xdr:rowOff>187642</xdr:rowOff>
    </xdr:from>
    <xdr:to>
      <xdr:col>6</xdr:col>
      <xdr:colOff>433070</xdr:colOff>
      <xdr:row>20</xdr:row>
      <xdr:rowOff>195580</xdr:rowOff>
    </xdr:to>
    <xdr:sp macro="" textlink="">
      <xdr:nvSpPr>
        <xdr:cNvPr id="62217" name="矩形 62216"/>
        <xdr:cNvSpPr/>
      </xdr:nvSpPr>
      <xdr:spPr bwMode="auto">
        <a:xfrm>
          <a:off x="5300345" y="5445442"/>
          <a:ext cx="561975" cy="793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69696" mc:Ignorable="a14" a14:legacySpreadsheetColorIndex="55"/>
        </a:solidFill>
        <a:ln w="38100" cap="flat" cmpd="sng" algn="ctr">
          <a:solidFill>
            <a:srgbClr xmlns:mc="http://schemas.openxmlformats.org/markup-compatibility/2006" xmlns:a14="http://schemas.microsoft.com/office/drawing/2010/main" val="969696" mc:Ignorable="a14" a14:legacySpreadsheetColorIndex="55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zh-TW" altLang="en-US" sz="1100"/>
        </a:p>
      </xdr:txBody>
    </xdr:sp>
    <xdr:clientData/>
  </xdr:twoCellAnchor>
  <xdr:twoCellAnchor>
    <xdr:from>
      <xdr:col>5</xdr:col>
      <xdr:colOff>15875</xdr:colOff>
      <xdr:row>20</xdr:row>
      <xdr:rowOff>191611</xdr:rowOff>
    </xdr:from>
    <xdr:to>
      <xdr:col>6</xdr:col>
      <xdr:colOff>152083</xdr:colOff>
      <xdr:row>37</xdr:row>
      <xdr:rowOff>114300</xdr:rowOff>
    </xdr:to>
    <xdr:cxnSp macro="">
      <xdr:nvCxnSpPr>
        <xdr:cNvPr id="62218" name="直線接點 62217"/>
        <xdr:cNvCxnSpPr/>
      </xdr:nvCxnSpPr>
      <xdr:spPr bwMode="auto">
        <a:xfrm flipV="1">
          <a:off x="4445000" y="5449411"/>
          <a:ext cx="1136333" cy="3808889"/>
        </a:xfrm>
        <a:prstGeom prst="line">
          <a:avLst/>
        </a:prstGeom>
        <a:solidFill>
          <a:srgbClr val="FFFFFF"/>
        </a:solidFill>
        <a:ln w="3175" cap="rnd" cmpd="sng" algn="ctr">
          <a:solidFill>
            <a:srgbClr xmlns:mc="http://schemas.openxmlformats.org/markup-compatibility/2006" xmlns:a14="http://schemas.microsoft.com/office/drawing/2010/main" val="00FF00" mc:Ignorable="a14" a14:legacySpreadsheetColorIndex="3"/>
          </a:solidFill>
          <a:prstDash val="dot"/>
          <a:round/>
          <a:headEnd type="oval" w="med" len="med"/>
          <a:tailEnd type="oval" w="med" len="med"/>
        </a:ln>
        <a:effectLst/>
      </xdr:spPr>
    </xdr:cxnSp>
    <xdr:clientData/>
  </xdr:twoCellAnchor>
  <xdr:twoCellAnchor>
    <xdr:from>
      <xdr:col>5</xdr:col>
      <xdr:colOff>836295</xdr:colOff>
      <xdr:row>6</xdr:row>
      <xdr:rowOff>109220</xdr:rowOff>
    </xdr:from>
    <xdr:to>
      <xdr:col>6</xdr:col>
      <xdr:colOff>398145</xdr:colOff>
      <xdr:row>6</xdr:row>
      <xdr:rowOff>117158</xdr:rowOff>
    </xdr:to>
    <xdr:sp macro="" textlink="">
      <xdr:nvSpPr>
        <xdr:cNvPr id="62219" name="矩形 62218"/>
        <xdr:cNvSpPr/>
      </xdr:nvSpPr>
      <xdr:spPr bwMode="auto">
        <a:xfrm>
          <a:off x="5265420" y="2166620"/>
          <a:ext cx="561975" cy="793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69696" mc:Ignorable="a14" a14:legacySpreadsheetColorIndex="55"/>
        </a:solidFill>
        <a:ln w="38100" cap="flat" cmpd="sng" algn="ctr">
          <a:solidFill>
            <a:srgbClr xmlns:mc="http://schemas.openxmlformats.org/markup-compatibility/2006" xmlns:a14="http://schemas.microsoft.com/office/drawing/2010/main" val="969696" mc:Ignorable="a14" a14:legacySpreadsheetColorIndex="55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zh-TW" altLang="en-US" sz="1100"/>
        </a:p>
      </xdr:txBody>
    </xdr:sp>
    <xdr:clientData/>
  </xdr:twoCellAnchor>
  <xdr:twoCellAnchor>
    <xdr:from>
      <xdr:col>5</xdr:col>
      <xdr:colOff>15875</xdr:colOff>
      <xdr:row>6</xdr:row>
      <xdr:rowOff>113189</xdr:rowOff>
    </xdr:from>
    <xdr:to>
      <xdr:col>6</xdr:col>
      <xdr:colOff>117158</xdr:colOff>
      <xdr:row>38</xdr:row>
      <xdr:rowOff>114300</xdr:rowOff>
    </xdr:to>
    <xdr:cxnSp macro="">
      <xdr:nvCxnSpPr>
        <xdr:cNvPr id="62220" name="直線接點 62219"/>
        <xdr:cNvCxnSpPr/>
      </xdr:nvCxnSpPr>
      <xdr:spPr bwMode="auto">
        <a:xfrm flipV="1">
          <a:off x="4445000" y="2170589"/>
          <a:ext cx="1101408" cy="7316311"/>
        </a:xfrm>
        <a:prstGeom prst="line">
          <a:avLst/>
        </a:prstGeom>
        <a:solidFill>
          <a:srgbClr val="FFFFFF"/>
        </a:solidFill>
        <a:ln w="3175" cap="rnd" cmpd="sng" algn="ctr">
          <a:solidFill>
            <a:srgbClr xmlns:mc="http://schemas.openxmlformats.org/markup-compatibility/2006" xmlns:a14="http://schemas.microsoft.com/office/drawing/2010/main" val="00FF00" mc:Ignorable="a14" a14:legacySpreadsheetColorIndex="3"/>
          </a:solidFill>
          <a:prstDash val="dot"/>
          <a:round/>
          <a:headEnd type="oval" w="med" len="med"/>
          <a:tailEnd type="oval" w="med" len="med"/>
        </a:ln>
        <a:effectLst/>
      </xdr:spPr>
    </xdr:cxnSp>
    <xdr:clientData/>
  </xdr:twoCellAnchor>
  <xdr:twoCellAnchor>
    <xdr:from>
      <xdr:col>8</xdr:col>
      <xdr:colOff>714375</xdr:colOff>
      <xdr:row>20</xdr:row>
      <xdr:rowOff>187642</xdr:rowOff>
    </xdr:from>
    <xdr:to>
      <xdr:col>9</xdr:col>
      <xdr:colOff>276225</xdr:colOff>
      <xdr:row>20</xdr:row>
      <xdr:rowOff>195580</xdr:rowOff>
    </xdr:to>
    <xdr:sp macro="" textlink="">
      <xdr:nvSpPr>
        <xdr:cNvPr id="62221" name="矩形 62220"/>
        <xdr:cNvSpPr/>
      </xdr:nvSpPr>
      <xdr:spPr bwMode="auto">
        <a:xfrm>
          <a:off x="8143875" y="5445442"/>
          <a:ext cx="561975" cy="793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69696" mc:Ignorable="a14" a14:legacySpreadsheetColorIndex="55"/>
        </a:solidFill>
        <a:ln w="38100" cap="flat" cmpd="sng" algn="ctr">
          <a:solidFill>
            <a:srgbClr xmlns:mc="http://schemas.openxmlformats.org/markup-compatibility/2006" xmlns:a14="http://schemas.microsoft.com/office/drawing/2010/main" val="969696" mc:Ignorable="a14" a14:legacySpreadsheetColorIndex="55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zh-TW" altLang="en-US" sz="1100"/>
        </a:p>
      </xdr:txBody>
    </xdr:sp>
    <xdr:clientData/>
  </xdr:twoCellAnchor>
  <xdr:twoCellAnchor>
    <xdr:from>
      <xdr:col>5</xdr:col>
      <xdr:colOff>15875</xdr:colOff>
      <xdr:row>20</xdr:row>
      <xdr:rowOff>191611</xdr:rowOff>
    </xdr:from>
    <xdr:to>
      <xdr:col>8</xdr:col>
      <xdr:colOff>995363</xdr:colOff>
      <xdr:row>39</xdr:row>
      <xdr:rowOff>114300</xdr:rowOff>
    </xdr:to>
    <xdr:cxnSp macro="">
      <xdr:nvCxnSpPr>
        <xdr:cNvPr id="62222" name="直線接點 62221"/>
        <xdr:cNvCxnSpPr/>
      </xdr:nvCxnSpPr>
      <xdr:spPr bwMode="auto">
        <a:xfrm flipV="1">
          <a:off x="4445000" y="5449411"/>
          <a:ext cx="3979863" cy="4266089"/>
        </a:xfrm>
        <a:prstGeom prst="line">
          <a:avLst/>
        </a:prstGeom>
        <a:solidFill>
          <a:srgbClr val="FFFFFF"/>
        </a:solidFill>
        <a:ln w="3175" cap="rnd" cmpd="sng" algn="ctr">
          <a:solidFill>
            <a:srgbClr xmlns:mc="http://schemas.openxmlformats.org/markup-compatibility/2006" xmlns:a14="http://schemas.microsoft.com/office/drawing/2010/main" val="00FF00" mc:Ignorable="a14" a14:legacySpreadsheetColorIndex="3"/>
          </a:solidFill>
          <a:prstDash val="dot"/>
          <a:round/>
          <a:headEnd type="oval" w="med" len="med"/>
          <a:tailEnd type="oval" w="med" len="med"/>
        </a:ln>
        <a:effectLst/>
      </xdr:spPr>
    </xdr:cxnSp>
    <xdr:clientData/>
  </xdr:twoCellAnchor>
  <xdr:twoCellAnchor>
    <xdr:from>
      <xdr:col>5</xdr:col>
      <xdr:colOff>15875</xdr:colOff>
      <xdr:row>20</xdr:row>
      <xdr:rowOff>192088</xdr:rowOff>
    </xdr:from>
    <xdr:to>
      <xdr:col>5</xdr:col>
      <xdr:colOff>850583</xdr:colOff>
      <xdr:row>40</xdr:row>
      <xdr:rowOff>114300</xdr:rowOff>
    </xdr:to>
    <xdr:cxnSp macro="">
      <xdr:nvCxnSpPr>
        <xdr:cNvPr id="62223" name="直線接點 62222"/>
        <xdr:cNvCxnSpPr/>
      </xdr:nvCxnSpPr>
      <xdr:spPr bwMode="auto">
        <a:xfrm flipV="1">
          <a:off x="4445000" y="5449888"/>
          <a:ext cx="834708" cy="4494212"/>
        </a:xfrm>
        <a:prstGeom prst="line">
          <a:avLst/>
        </a:prstGeom>
        <a:solidFill>
          <a:srgbClr val="FFFFFF"/>
        </a:solidFill>
        <a:ln w="3175" cap="rnd" cmpd="sng" algn="ctr">
          <a:solidFill>
            <a:srgbClr xmlns:mc="http://schemas.openxmlformats.org/markup-compatibility/2006" xmlns:a14="http://schemas.microsoft.com/office/drawing/2010/main" val="00FF00" mc:Ignorable="a14" a14:legacySpreadsheetColorIndex="3"/>
          </a:solidFill>
          <a:prstDash val="dot"/>
          <a:round/>
          <a:headEnd type="oval" w="med" len="med"/>
          <a:tailEnd type="oval" w="med" len="med"/>
        </a:ln>
        <a:effectLst/>
      </xdr:spPr>
    </xdr:cxnSp>
    <xdr:clientData/>
  </xdr:twoCellAnchor>
  <xdr:twoCellAnchor>
    <xdr:from>
      <xdr:col>5</xdr:col>
      <xdr:colOff>828675</xdr:colOff>
      <xdr:row>6</xdr:row>
      <xdr:rowOff>109220</xdr:rowOff>
    </xdr:from>
    <xdr:to>
      <xdr:col>5</xdr:col>
      <xdr:colOff>835025</xdr:colOff>
      <xdr:row>6</xdr:row>
      <xdr:rowOff>200343</xdr:rowOff>
    </xdr:to>
    <xdr:sp macro="" textlink="">
      <xdr:nvSpPr>
        <xdr:cNvPr id="62224" name="矩形 62223"/>
        <xdr:cNvSpPr/>
      </xdr:nvSpPr>
      <xdr:spPr bwMode="auto">
        <a:xfrm>
          <a:off x="5257800" y="2166620"/>
          <a:ext cx="6350" cy="91123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008000" mc:Ignorable="a14" a14:legacySpreadsheetColorIndex="17"/>
        </a:solidFill>
        <a:ln w="38100" cap="flat" cmpd="sng" algn="ctr">
          <a:solidFill>
            <a:srgbClr xmlns:mc="http://schemas.openxmlformats.org/markup-compatibility/2006" xmlns:a14="http://schemas.microsoft.com/office/drawing/2010/main" val="008000" mc:Ignorable="a14" a14:legacySpreadsheetColorIndex="17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zh-TW" altLang="en-US" sz="1100"/>
        </a:p>
      </xdr:txBody>
    </xdr:sp>
    <xdr:clientData/>
  </xdr:twoCellAnchor>
  <xdr:twoCellAnchor>
    <xdr:from>
      <xdr:col>5</xdr:col>
      <xdr:colOff>15875</xdr:colOff>
      <xdr:row>6</xdr:row>
      <xdr:rowOff>154781</xdr:rowOff>
    </xdr:from>
    <xdr:to>
      <xdr:col>5</xdr:col>
      <xdr:colOff>831850</xdr:colOff>
      <xdr:row>41</xdr:row>
      <xdr:rowOff>114300</xdr:rowOff>
    </xdr:to>
    <xdr:cxnSp macro="">
      <xdr:nvCxnSpPr>
        <xdr:cNvPr id="62225" name="直線接點 62224"/>
        <xdr:cNvCxnSpPr/>
      </xdr:nvCxnSpPr>
      <xdr:spPr bwMode="auto">
        <a:xfrm flipV="1">
          <a:off x="4445000" y="2212181"/>
          <a:ext cx="815975" cy="7960519"/>
        </a:xfrm>
        <a:prstGeom prst="line">
          <a:avLst/>
        </a:prstGeom>
        <a:solidFill>
          <a:srgbClr val="FFFFFF"/>
        </a:solidFill>
        <a:ln w="3175" cap="rnd" cmpd="sng" algn="ctr">
          <a:solidFill>
            <a:srgbClr xmlns:mc="http://schemas.openxmlformats.org/markup-compatibility/2006" xmlns:a14="http://schemas.microsoft.com/office/drawing/2010/main" val="00FF00" mc:Ignorable="a14" a14:legacySpreadsheetColorIndex="3"/>
          </a:solidFill>
          <a:prstDash val="dot"/>
          <a:round/>
          <a:headEnd type="oval" w="med" len="med"/>
          <a:tailEnd type="oval" w="med" len="med"/>
        </a:ln>
        <a:effectLst/>
      </xdr:spPr>
    </xdr:cxnSp>
    <xdr:clientData/>
  </xdr:twoCellAnchor>
  <xdr:twoCellAnchor>
    <xdr:from>
      <xdr:col>6</xdr:col>
      <xdr:colOff>33814</xdr:colOff>
      <xdr:row>6</xdr:row>
      <xdr:rowOff>117237</xdr:rowOff>
    </xdr:from>
    <xdr:to>
      <xdr:col>6</xdr:col>
      <xdr:colOff>327501</xdr:colOff>
      <xdr:row>6</xdr:row>
      <xdr:rowOff>127556</xdr:rowOff>
    </xdr:to>
    <xdr:sp macro="" textlink="">
      <xdr:nvSpPr>
        <xdr:cNvPr id="62226" name="矩形 62225"/>
        <xdr:cNvSpPr/>
      </xdr:nvSpPr>
      <xdr:spPr bwMode="auto">
        <a:xfrm>
          <a:off x="5463064" y="2174637"/>
          <a:ext cx="293687" cy="1031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8080" mc:Ignorable="a14" a14:legacySpreadsheetColorIndex="29"/>
        </a:solidFill>
        <a:ln w="38100" cap="flat" cmpd="sng" algn="ctr">
          <a:solidFill>
            <a:srgbClr xmlns:mc="http://schemas.openxmlformats.org/markup-compatibility/2006" xmlns:a14="http://schemas.microsoft.com/office/drawing/2010/main" val="FF8080" mc:Ignorable="a14" a14:legacySpreadsheetColorIndex="29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zh-TW" altLang="en-US" sz="1100"/>
        </a:p>
      </xdr:txBody>
    </xdr:sp>
    <xdr:clientData/>
  </xdr:twoCellAnchor>
  <xdr:twoCellAnchor>
    <xdr:from>
      <xdr:col>5</xdr:col>
      <xdr:colOff>15875</xdr:colOff>
      <xdr:row>6</xdr:row>
      <xdr:rowOff>122396</xdr:rowOff>
    </xdr:from>
    <xdr:to>
      <xdr:col>6</xdr:col>
      <xdr:colOff>180658</xdr:colOff>
      <xdr:row>42</xdr:row>
      <xdr:rowOff>114300</xdr:rowOff>
    </xdr:to>
    <xdr:cxnSp macro="">
      <xdr:nvCxnSpPr>
        <xdr:cNvPr id="62227" name="直線接點 62226"/>
        <xdr:cNvCxnSpPr/>
      </xdr:nvCxnSpPr>
      <xdr:spPr bwMode="auto">
        <a:xfrm flipV="1">
          <a:off x="4445000" y="2179796"/>
          <a:ext cx="1164908" cy="8221504"/>
        </a:xfrm>
        <a:prstGeom prst="line">
          <a:avLst/>
        </a:prstGeom>
        <a:solidFill>
          <a:srgbClr val="FFFFFF"/>
        </a:solidFill>
        <a:ln w="3175" cap="rnd" cmpd="sng" algn="ctr">
          <a:solidFill>
            <a:srgbClr xmlns:mc="http://schemas.openxmlformats.org/markup-compatibility/2006" xmlns:a14="http://schemas.microsoft.com/office/drawing/2010/main" val="00FF00" mc:Ignorable="a14" a14:legacySpreadsheetColorIndex="3"/>
          </a:solidFill>
          <a:prstDash val="dot"/>
          <a:round/>
          <a:headEnd type="oval" w="med" len="med"/>
          <a:tailEnd type="oval" w="med" len="med"/>
        </a:ln>
        <a:effectLst/>
      </xdr:spPr>
    </xdr:cxnSp>
    <xdr:clientData/>
  </xdr:twoCellAnchor>
  <xdr:twoCellAnchor>
    <xdr:from>
      <xdr:col>6</xdr:col>
      <xdr:colOff>419259</xdr:colOff>
      <xdr:row>6</xdr:row>
      <xdr:rowOff>108029</xdr:rowOff>
    </xdr:from>
    <xdr:to>
      <xdr:col>6</xdr:col>
      <xdr:colOff>712946</xdr:colOff>
      <xdr:row>6</xdr:row>
      <xdr:rowOff>118348</xdr:rowOff>
    </xdr:to>
    <xdr:sp macro="" textlink="">
      <xdr:nvSpPr>
        <xdr:cNvPr id="62228" name="矩形 62227"/>
        <xdr:cNvSpPr/>
      </xdr:nvSpPr>
      <xdr:spPr bwMode="auto">
        <a:xfrm>
          <a:off x="5848509" y="2165429"/>
          <a:ext cx="293687" cy="1031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8080" mc:Ignorable="a14" a14:legacySpreadsheetColorIndex="29"/>
        </a:solidFill>
        <a:ln w="38100" cap="flat" cmpd="sng" algn="ctr">
          <a:solidFill>
            <a:srgbClr xmlns:mc="http://schemas.openxmlformats.org/markup-compatibility/2006" xmlns:a14="http://schemas.microsoft.com/office/drawing/2010/main" val="FF8080" mc:Ignorable="a14" a14:legacySpreadsheetColorIndex="29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zh-TW" altLang="en-US" sz="1100"/>
        </a:p>
      </xdr:txBody>
    </xdr:sp>
    <xdr:clientData/>
  </xdr:twoCellAnchor>
  <xdr:twoCellAnchor>
    <xdr:from>
      <xdr:col>5</xdr:col>
      <xdr:colOff>15875</xdr:colOff>
      <xdr:row>6</xdr:row>
      <xdr:rowOff>113189</xdr:rowOff>
    </xdr:from>
    <xdr:to>
      <xdr:col>6</xdr:col>
      <xdr:colOff>566103</xdr:colOff>
      <xdr:row>43</xdr:row>
      <xdr:rowOff>114300</xdr:rowOff>
    </xdr:to>
    <xdr:cxnSp macro="">
      <xdr:nvCxnSpPr>
        <xdr:cNvPr id="62229" name="直線接點 62228"/>
        <xdr:cNvCxnSpPr/>
      </xdr:nvCxnSpPr>
      <xdr:spPr bwMode="auto">
        <a:xfrm flipV="1">
          <a:off x="4445000" y="2170589"/>
          <a:ext cx="1550353" cy="8459311"/>
        </a:xfrm>
        <a:prstGeom prst="line">
          <a:avLst/>
        </a:prstGeom>
        <a:solidFill>
          <a:srgbClr val="FFFFFF"/>
        </a:solidFill>
        <a:ln w="3175" cap="rnd" cmpd="sng" algn="ctr">
          <a:solidFill>
            <a:srgbClr xmlns:mc="http://schemas.openxmlformats.org/markup-compatibility/2006" xmlns:a14="http://schemas.microsoft.com/office/drawing/2010/main" val="00FF00" mc:Ignorable="a14" a14:legacySpreadsheetColorIndex="3"/>
          </a:solidFill>
          <a:prstDash val="dot"/>
          <a:round/>
          <a:headEnd type="oval" w="med" len="med"/>
          <a:tailEnd type="oval" w="med" len="med"/>
        </a:ln>
        <a:effectLst/>
      </xdr:spPr>
    </xdr:cxnSp>
    <xdr:clientData/>
  </xdr:twoCellAnchor>
  <xdr:twoCellAnchor>
    <xdr:from>
      <xdr:col>5</xdr:col>
      <xdr:colOff>828358</xdr:colOff>
      <xdr:row>6</xdr:row>
      <xdr:rowOff>206692</xdr:rowOff>
    </xdr:from>
    <xdr:to>
      <xdr:col>5</xdr:col>
      <xdr:colOff>836295</xdr:colOff>
      <xdr:row>7</xdr:row>
      <xdr:rowOff>57467</xdr:rowOff>
    </xdr:to>
    <xdr:sp macro="" textlink="">
      <xdr:nvSpPr>
        <xdr:cNvPr id="62230" name="矩形 62229"/>
        <xdr:cNvSpPr/>
      </xdr:nvSpPr>
      <xdr:spPr bwMode="auto">
        <a:xfrm>
          <a:off x="5257483" y="2264092"/>
          <a:ext cx="7937" cy="793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8080" mc:Ignorable="a14" a14:legacySpreadsheetColorIndex="29"/>
        </a:solidFill>
        <a:ln w="38100" cap="flat" cmpd="sng" algn="ctr">
          <a:solidFill>
            <a:srgbClr xmlns:mc="http://schemas.openxmlformats.org/markup-compatibility/2006" xmlns:a14="http://schemas.microsoft.com/office/drawing/2010/main" val="FF8080" mc:Ignorable="a14" a14:legacySpreadsheetColorIndex="29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zh-TW" altLang="en-US" sz="1100"/>
        </a:p>
      </xdr:txBody>
    </xdr:sp>
    <xdr:clientData/>
  </xdr:twoCellAnchor>
  <xdr:twoCellAnchor>
    <xdr:from>
      <xdr:col>5</xdr:col>
      <xdr:colOff>15875</xdr:colOff>
      <xdr:row>7</xdr:row>
      <xdr:rowOff>17780</xdr:rowOff>
    </xdr:from>
    <xdr:to>
      <xdr:col>5</xdr:col>
      <xdr:colOff>832326</xdr:colOff>
      <xdr:row>44</xdr:row>
      <xdr:rowOff>114300</xdr:rowOff>
    </xdr:to>
    <xdr:cxnSp macro="">
      <xdr:nvCxnSpPr>
        <xdr:cNvPr id="62231" name="直線接點 62230"/>
        <xdr:cNvCxnSpPr/>
      </xdr:nvCxnSpPr>
      <xdr:spPr bwMode="auto">
        <a:xfrm flipV="1">
          <a:off x="4445000" y="2303780"/>
          <a:ext cx="816451" cy="8554720"/>
        </a:xfrm>
        <a:prstGeom prst="line">
          <a:avLst/>
        </a:prstGeom>
        <a:solidFill>
          <a:srgbClr val="FFFFFF"/>
        </a:solidFill>
        <a:ln w="3175" cap="rnd" cmpd="sng" algn="ctr">
          <a:solidFill>
            <a:srgbClr xmlns:mc="http://schemas.openxmlformats.org/markup-compatibility/2006" xmlns:a14="http://schemas.microsoft.com/office/drawing/2010/main" val="00FF00" mc:Ignorable="a14" a14:legacySpreadsheetColorIndex="3"/>
          </a:solidFill>
          <a:prstDash val="dot"/>
          <a:round/>
          <a:headEnd type="oval" w="med" len="med"/>
          <a:tailEnd type="oval" w="med" len="med"/>
        </a:ln>
        <a:effectLst/>
      </xdr:spPr>
    </xdr:cxnSp>
    <xdr:clientData/>
  </xdr:twoCellAnchor>
  <xdr:twoCellAnchor>
    <xdr:from>
      <xdr:col>5</xdr:col>
      <xdr:colOff>15875</xdr:colOff>
      <xdr:row>20</xdr:row>
      <xdr:rowOff>192088</xdr:rowOff>
    </xdr:from>
    <xdr:to>
      <xdr:col>5</xdr:col>
      <xdr:colOff>831850</xdr:colOff>
      <xdr:row>45</xdr:row>
      <xdr:rowOff>114300</xdr:rowOff>
    </xdr:to>
    <xdr:cxnSp macro="">
      <xdr:nvCxnSpPr>
        <xdr:cNvPr id="62232" name="直線接點 62231"/>
        <xdr:cNvCxnSpPr/>
      </xdr:nvCxnSpPr>
      <xdr:spPr bwMode="auto">
        <a:xfrm flipV="1">
          <a:off x="4445000" y="5449888"/>
          <a:ext cx="815975" cy="5637212"/>
        </a:xfrm>
        <a:prstGeom prst="line">
          <a:avLst/>
        </a:prstGeom>
        <a:solidFill>
          <a:srgbClr val="FFFFFF"/>
        </a:solidFill>
        <a:ln w="3175" cap="rnd" cmpd="sng" algn="ctr">
          <a:solidFill>
            <a:srgbClr xmlns:mc="http://schemas.openxmlformats.org/markup-compatibility/2006" xmlns:a14="http://schemas.microsoft.com/office/drawing/2010/main" val="00FF00" mc:Ignorable="a14" a14:legacySpreadsheetColorIndex="3"/>
          </a:solidFill>
          <a:prstDash val="dot"/>
          <a:round/>
          <a:headEnd type="oval" w="med" len="med"/>
          <a:tailEnd type="oval" w="med" len="med"/>
        </a:ln>
        <a:effectLst/>
      </xdr:spPr>
    </xdr:cxnSp>
    <xdr:clientData/>
  </xdr:twoCellAnchor>
  <xdr:twoCellAnchor>
    <xdr:from>
      <xdr:col>5</xdr:col>
      <xdr:colOff>15875</xdr:colOff>
      <xdr:row>20</xdr:row>
      <xdr:rowOff>184467</xdr:rowOff>
    </xdr:from>
    <xdr:to>
      <xdr:col>5</xdr:col>
      <xdr:colOff>831850</xdr:colOff>
      <xdr:row>46</xdr:row>
      <xdr:rowOff>114300</xdr:rowOff>
    </xdr:to>
    <xdr:cxnSp macro="">
      <xdr:nvCxnSpPr>
        <xdr:cNvPr id="62233" name="直線接點 62232"/>
        <xdr:cNvCxnSpPr/>
      </xdr:nvCxnSpPr>
      <xdr:spPr bwMode="auto">
        <a:xfrm flipV="1">
          <a:off x="4445000" y="5442267"/>
          <a:ext cx="815975" cy="5873433"/>
        </a:xfrm>
        <a:prstGeom prst="line">
          <a:avLst/>
        </a:prstGeom>
        <a:solidFill>
          <a:srgbClr val="FFFFFF"/>
        </a:solidFill>
        <a:ln w="3175" cap="rnd" cmpd="sng" algn="ctr">
          <a:solidFill>
            <a:srgbClr xmlns:mc="http://schemas.openxmlformats.org/markup-compatibility/2006" xmlns:a14="http://schemas.microsoft.com/office/drawing/2010/main" val="00FF00" mc:Ignorable="a14" a14:legacySpreadsheetColorIndex="3"/>
          </a:solidFill>
          <a:prstDash val="dot"/>
          <a:round/>
          <a:headEnd type="oval" w="med" len="med"/>
          <a:tailEnd type="oval" w="med" len="med"/>
        </a:ln>
        <a:effectLst/>
      </xdr:spPr>
    </xdr:cxnSp>
    <xdr:clientData/>
  </xdr:twoCellAnchor>
  <xdr:twoCellAnchor>
    <xdr:from>
      <xdr:col>5</xdr:col>
      <xdr:colOff>822325</xdr:colOff>
      <xdr:row>6</xdr:row>
      <xdr:rowOff>103188</xdr:rowOff>
    </xdr:from>
    <xdr:to>
      <xdr:col>5</xdr:col>
      <xdr:colOff>822325</xdr:colOff>
      <xdr:row>20</xdr:row>
      <xdr:rowOff>201613</xdr:rowOff>
    </xdr:to>
    <xdr:cxnSp macro="">
      <xdr:nvCxnSpPr>
        <xdr:cNvPr id="62234" name="直線接點 62233"/>
        <xdr:cNvCxnSpPr/>
      </xdr:nvCxnSpPr>
      <xdr:spPr bwMode="auto">
        <a:xfrm flipV="1">
          <a:off x="5251450" y="2160588"/>
          <a:ext cx="0" cy="3298825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9</xdr:col>
      <xdr:colOff>288925</xdr:colOff>
      <xdr:row>6</xdr:row>
      <xdr:rowOff>103188</xdr:rowOff>
    </xdr:from>
    <xdr:to>
      <xdr:col>9</xdr:col>
      <xdr:colOff>288925</xdr:colOff>
      <xdr:row>20</xdr:row>
      <xdr:rowOff>201613</xdr:rowOff>
    </xdr:to>
    <xdr:cxnSp macro="">
      <xdr:nvCxnSpPr>
        <xdr:cNvPr id="62235" name="直線接點 62234"/>
        <xdr:cNvCxnSpPr/>
      </xdr:nvCxnSpPr>
      <xdr:spPr bwMode="auto">
        <a:xfrm flipV="1">
          <a:off x="8718550" y="2160588"/>
          <a:ext cx="0" cy="3298825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822325</xdr:colOff>
      <xdr:row>20</xdr:row>
      <xdr:rowOff>201613</xdr:rowOff>
    </xdr:from>
    <xdr:to>
      <xdr:col>9</xdr:col>
      <xdr:colOff>288925</xdr:colOff>
      <xdr:row>20</xdr:row>
      <xdr:rowOff>201613</xdr:rowOff>
    </xdr:to>
    <xdr:cxnSp macro="">
      <xdr:nvCxnSpPr>
        <xdr:cNvPr id="62236" name="直線接點 62235"/>
        <xdr:cNvCxnSpPr/>
      </xdr:nvCxnSpPr>
      <xdr:spPr bwMode="auto">
        <a:xfrm>
          <a:off x="5251450" y="5459413"/>
          <a:ext cx="3467100" cy="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822325</xdr:colOff>
      <xdr:row>6</xdr:row>
      <xdr:rowOff>103188</xdr:rowOff>
    </xdr:from>
    <xdr:to>
      <xdr:col>9</xdr:col>
      <xdr:colOff>288925</xdr:colOff>
      <xdr:row>6</xdr:row>
      <xdr:rowOff>103188</xdr:rowOff>
    </xdr:to>
    <xdr:cxnSp macro="">
      <xdr:nvCxnSpPr>
        <xdr:cNvPr id="62237" name="直線接點 62236"/>
        <xdr:cNvCxnSpPr/>
      </xdr:nvCxnSpPr>
      <xdr:spPr bwMode="auto">
        <a:xfrm>
          <a:off x="5251450" y="2160588"/>
          <a:ext cx="3467100" cy="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812800</xdr:colOff>
      <xdr:row>6</xdr:row>
      <xdr:rowOff>88900</xdr:rowOff>
    </xdr:from>
    <xdr:to>
      <xdr:col>9</xdr:col>
      <xdr:colOff>288925</xdr:colOff>
      <xdr:row>20</xdr:row>
      <xdr:rowOff>214052</xdr:rowOff>
    </xdr:to>
    <xdr:grpSp>
      <xdr:nvGrpSpPr>
        <xdr:cNvPr id="18" name="群組 17"/>
        <xdr:cNvGrpSpPr/>
      </xdr:nvGrpSpPr>
      <xdr:grpSpPr>
        <a:xfrm>
          <a:off x="5257800" y="2146300"/>
          <a:ext cx="3489325" cy="3325552"/>
          <a:chOff x="9474200" y="6191123"/>
          <a:chExt cx="3489325" cy="3325552"/>
        </a:xfrm>
      </xdr:grpSpPr>
      <xdr:cxnSp macro="">
        <xdr:nvCxnSpPr>
          <xdr:cNvPr id="19" name="直線接點 18"/>
          <xdr:cNvCxnSpPr/>
        </xdr:nvCxnSpPr>
        <xdr:spPr bwMode="auto">
          <a:xfrm>
            <a:off x="11223625" y="7854823"/>
            <a:ext cx="0" cy="0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20" name="直線接點 19"/>
          <xdr:cNvCxnSpPr/>
        </xdr:nvCxnSpPr>
        <xdr:spPr bwMode="auto">
          <a:xfrm>
            <a:off x="11376025" y="8007223"/>
            <a:ext cx="0" cy="0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21" name="直線接點 20"/>
          <xdr:cNvCxnSpPr/>
        </xdr:nvCxnSpPr>
        <xdr:spPr bwMode="auto">
          <a:xfrm flipV="1">
            <a:off x="9483725" y="6205411"/>
            <a:ext cx="0" cy="3298825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22" name="直線接點 21"/>
          <xdr:cNvCxnSpPr/>
        </xdr:nvCxnSpPr>
        <xdr:spPr bwMode="auto">
          <a:xfrm flipV="1">
            <a:off x="12963525" y="6205411"/>
            <a:ext cx="0" cy="3298825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23" name="直線接點 22"/>
          <xdr:cNvCxnSpPr/>
        </xdr:nvCxnSpPr>
        <xdr:spPr bwMode="auto">
          <a:xfrm>
            <a:off x="9483725" y="9504236"/>
            <a:ext cx="3479800" cy="0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24" name="直線接點 23"/>
          <xdr:cNvCxnSpPr/>
        </xdr:nvCxnSpPr>
        <xdr:spPr bwMode="auto">
          <a:xfrm>
            <a:off x="9483725" y="6205411"/>
            <a:ext cx="3479800" cy="0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25" name="直線接點 24"/>
          <xdr:cNvCxnSpPr/>
        </xdr:nvCxnSpPr>
        <xdr:spPr bwMode="auto">
          <a:xfrm>
            <a:off x="9474200" y="6915118"/>
            <a:ext cx="3479800" cy="0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26" name="直線接點 25"/>
          <xdr:cNvCxnSpPr/>
        </xdr:nvCxnSpPr>
        <xdr:spPr bwMode="auto">
          <a:xfrm>
            <a:off x="9474200" y="6683343"/>
            <a:ext cx="3479800" cy="0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27" name="直線接點 26"/>
          <xdr:cNvCxnSpPr/>
        </xdr:nvCxnSpPr>
        <xdr:spPr bwMode="auto">
          <a:xfrm>
            <a:off x="9474200" y="6451568"/>
            <a:ext cx="3479800" cy="0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28" name="直線接點 27"/>
          <xdr:cNvCxnSpPr/>
        </xdr:nvCxnSpPr>
        <xdr:spPr bwMode="auto">
          <a:xfrm flipH="1" flipV="1">
            <a:off x="9626601" y="6452727"/>
            <a:ext cx="4526" cy="684546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29" name="直線接點 28"/>
          <xdr:cNvCxnSpPr/>
        </xdr:nvCxnSpPr>
        <xdr:spPr bwMode="auto">
          <a:xfrm flipH="1" flipV="1">
            <a:off x="9774237" y="6452727"/>
            <a:ext cx="3632" cy="667634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30" name="直線接點 29"/>
          <xdr:cNvCxnSpPr/>
        </xdr:nvCxnSpPr>
        <xdr:spPr bwMode="auto">
          <a:xfrm flipH="1" flipV="1">
            <a:off x="9918700" y="6452731"/>
            <a:ext cx="629" cy="672345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31" name="直線接點 30"/>
          <xdr:cNvCxnSpPr/>
        </xdr:nvCxnSpPr>
        <xdr:spPr bwMode="auto">
          <a:xfrm flipV="1">
            <a:off x="10060789" y="6457444"/>
            <a:ext cx="2373" cy="672348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32" name="直線接點 31"/>
          <xdr:cNvCxnSpPr/>
        </xdr:nvCxnSpPr>
        <xdr:spPr bwMode="auto">
          <a:xfrm flipV="1">
            <a:off x="10206965" y="6448012"/>
            <a:ext cx="660" cy="677064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33" name="直線接點 32"/>
          <xdr:cNvCxnSpPr/>
        </xdr:nvCxnSpPr>
        <xdr:spPr bwMode="auto">
          <a:xfrm flipV="1">
            <a:off x="10348425" y="6191123"/>
            <a:ext cx="3662" cy="929238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34" name="直線接點 33"/>
          <xdr:cNvCxnSpPr/>
        </xdr:nvCxnSpPr>
        <xdr:spPr bwMode="auto">
          <a:xfrm flipV="1">
            <a:off x="10494601" y="6191124"/>
            <a:ext cx="1949" cy="924522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35" name="直線接點 34"/>
          <xdr:cNvCxnSpPr/>
        </xdr:nvCxnSpPr>
        <xdr:spPr bwMode="auto">
          <a:xfrm flipV="1">
            <a:off x="10636062" y="6191124"/>
            <a:ext cx="4950" cy="933952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36" name="直線接點 35"/>
          <xdr:cNvCxnSpPr/>
        </xdr:nvCxnSpPr>
        <xdr:spPr bwMode="auto">
          <a:xfrm flipH="1" flipV="1">
            <a:off x="10788651" y="6191124"/>
            <a:ext cx="1948" cy="929237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37" name="直線接點 36"/>
          <xdr:cNvCxnSpPr/>
        </xdr:nvCxnSpPr>
        <xdr:spPr bwMode="auto">
          <a:xfrm flipV="1">
            <a:off x="10927344" y="6191124"/>
            <a:ext cx="5768" cy="924522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38" name="直線接點 37"/>
          <xdr:cNvCxnSpPr/>
        </xdr:nvCxnSpPr>
        <xdr:spPr bwMode="auto">
          <a:xfrm flipV="1">
            <a:off x="11073519" y="6191124"/>
            <a:ext cx="4056" cy="919806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39" name="直線接點 38"/>
          <xdr:cNvCxnSpPr/>
        </xdr:nvCxnSpPr>
        <xdr:spPr bwMode="auto">
          <a:xfrm flipV="1">
            <a:off x="11214980" y="6191123"/>
            <a:ext cx="7057" cy="924523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40" name="直線接點 39"/>
          <xdr:cNvCxnSpPr/>
        </xdr:nvCxnSpPr>
        <xdr:spPr bwMode="auto">
          <a:xfrm flipV="1">
            <a:off x="11356440" y="6191123"/>
            <a:ext cx="10060" cy="933953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41" name="直線接點 40"/>
          <xdr:cNvCxnSpPr/>
        </xdr:nvCxnSpPr>
        <xdr:spPr bwMode="auto">
          <a:xfrm flipV="1">
            <a:off x="11502616" y="6191124"/>
            <a:ext cx="8346" cy="948098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42" name="直線接點 41"/>
          <xdr:cNvCxnSpPr/>
        </xdr:nvCxnSpPr>
        <xdr:spPr bwMode="auto">
          <a:xfrm flipV="1">
            <a:off x="11648792" y="6191123"/>
            <a:ext cx="6633" cy="943384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43" name="直線接點 42"/>
          <xdr:cNvCxnSpPr/>
        </xdr:nvCxnSpPr>
        <xdr:spPr bwMode="auto">
          <a:xfrm flipV="1">
            <a:off x="11798614" y="6191123"/>
            <a:ext cx="4448" cy="929238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44" name="直線接點 43"/>
          <xdr:cNvCxnSpPr/>
        </xdr:nvCxnSpPr>
        <xdr:spPr bwMode="auto">
          <a:xfrm flipV="1">
            <a:off x="11940075" y="6191123"/>
            <a:ext cx="7450" cy="938669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45" name="直線接點 44"/>
          <xdr:cNvCxnSpPr/>
        </xdr:nvCxnSpPr>
        <xdr:spPr bwMode="auto">
          <a:xfrm flipV="1">
            <a:off x="12086251" y="6191123"/>
            <a:ext cx="5736" cy="929238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46" name="直線接點 45"/>
          <xdr:cNvCxnSpPr/>
        </xdr:nvCxnSpPr>
        <xdr:spPr bwMode="auto">
          <a:xfrm flipV="1">
            <a:off x="12232426" y="6457442"/>
            <a:ext cx="4026" cy="662919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47" name="直線接點 46"/>
          <xdr:cNvCxnSpPr/>
        </xdr:nvCxnSpPr>
        <xdr:spPr bwMode="auto">
          <a:xfrm flipV="1">
            <a:off x="12373887" y="6462164"/>
            <a:ext cx="7025" cy="662912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48" name="直線接點 47"/>
          <xdr:cNvCxnSpPr/>
        </xdr:nvCxnSpPr>
        <xdr:spPr bwMode="auto">
          <a:xfrm flipV="1">
            <a:off x="12524778" y="6462164"/>
            <a:ext cx="597" cy="662912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49" name="直線接點 48"/>
          <xdr:cNvCxnSpPr/>
        </xdr:nvCxnSpPr>
        <xdr:spPr bwMode="auto">
          <a:xfrm flipV="1">
            <a:off x="12666238" y="6462163"/>
            <a:ext cx="10420" cy="653483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50" name="直線接點 49"/>
          <xdr:cNvCxnSpPr/>
        </xdr:nvCxnSpPr>
        <xdr:spPr bwMode="auto">
          <a:xfrm flipV="1">
            <a:off x="12816060" y="6462163"/>
            <a:ext cx="1415" cy="662913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51" name="直線接點 50"/>
          <xdr:cNvCxnSpPr/>
        </xdr:nvCxnSpPr>
        <xdr:spPr bwMode="auto">
          <a:xfrm>
            <a:off x="9477148" y="7120364"/>
            <a:ext cx="3479800" cy="0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52" name="直線接點 51"/>
          <xdr:cNvCxnSpPr/>
        </xdr:nvCxnSpPr>
        <xdr:spPr bwMode="auto">
          <a:xfrm>
            <a:off x="9527446" y="8969343"/>
            <a:ext cx="3375324" cy="0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53" name="直線接點 52"/>
          <xdr:cNvCxnSpPr/>
        </xdr:nvCxnSpPr>
        <xdr:spPr bwMode="auto">
          <a:xfrm>
            <a:off x="9527446" y="8703554"/>
            <a:ext cx="3375324" cy="0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54" name="直線接點 53"/>
          <xdr:cNvCxnSpPr/>
        </xdr:nvCxnSpPr>
        <xdr:spPr bwMode="auto">
          <a:xfrm>
            <a:off x="9527446" y="8437766"/>
            <a:ext cx="3375324" cy="0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55" name="直線接點 54"/>
          <xdr:cNvCxnSpPr/>
        </xdr:nvCxnSpPr>
        <xdr:spPr bwMode="auto">
          <a:xfrm>
            <a:off x="9527446" y="8171978"/>
            <a:ext cx="3375324" cy="0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56" name="直線接點 55"/>
          <xdr:cNvCxnSpPr/>
        </xdr:nvCxnSpPr>
        <xdr:spPr bwMode="auto">
          <a:xfrm>
            <a:off x="9527446" y="7903926"/>
            <a:ext cx="3375324" cy="0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57" name="直線接點 56"/>
          <xdr:cNvCxnSpPr/>
        </xdr:nvCxnSpPr>
        <xdr:spPr bwMode="auto">
          <a:xfrm>
            <a:off x="9527446" y="7638137"/>
            <a:ext cx="3375324" cy="0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58" name="直線接點 57"/>
          <xdr:cNvCxnSpPr/>
        </xdr:nvCxnSpPr>
        <xdr:spPr bwMode="auto">
          <a:xfrm>
            <a:off x="9527446" y="7372349"/>
            <a:ext cx="3375324" cy="0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59" name="直線接點 58"/>
          <xdr:cNvCxnSpPr/>
        </xdr:nvCxnSpPr>
        <xdr:spPr bwMode="auto">
          <a:xfrm flipH="1" flipV="1">
            <a:off x="9533768" y="7115653"/>
            <a:ext cx="11776" cy="1848772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60" name="直線接點 59"/>
          <xdr:cNvCxnSpPr/>
        </xdr:nvCxnSpPr>
        <xdr:spPr bwMode="auto">
          <a:xfrm flipH="1" flipV="1">
            <a:off x="9713627" y="7115652"/>
            <a:ext cx="16122" cy="1859868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61" name="直線接點 60"/>
          <xdr:cNvCxnSpPr/>
        </xdr:nvCxnSpPr>
        <xdr:spPr bwMode="auto">
          <a:xfrm flipH="1" flipV="1">
            <a:off x="9889840" y="7115652"/>
            <a:ext cx="2531" cy="1841283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62" name="直線接點 61"/>
          <xdr:cNvCxnSpPr/>
        </xdr:nvCxnSpPr>
        <xdr:spPr bwMode="auto">
          <a:xfrm flipV="1">
            <a:off x="10064285" y="7115652"/>
            <a:ext cx="1767" cy="1831990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63" name="直線接點 62"/>
          <xdr:cNvCxnSpPr/>
        </xdr:nvCxnSpPr>
        <xdr:spPr bwMode="auto">
          <a:xfrm flipH="1" flipV="1">
            <a:off x="10242265" y="7115652"/>
            <a:ext cx="7874" cy="1841283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64" name="直線接點 63"/>
          <xdr:cNvCxnSpPr/>
        </xdr:nvCxnSpPr>
        <xdr:spPr bwMode="auto">
          <a:xfrm flipV="1">
            <a:off x="10412761" y="7115652"/>
            <a:ext cx="5716" cy="1855222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65" name="直線接點 64"/>
          <xdr:cNvCxnSpPr/>
        </xdr:nvCxnSpPr>
        <xdr:spPr bwMode="auto">
          <a:xfrm flipH="1" flipV="1">
            <a:off x="10597865" y="7115652"/>
            <a:ext cx="749" cy="1850576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66" name="直線接點 65"/>
          <xdr:cNvCxnSpPr/>
        </xdr:nvCxnSpPr>
        <xdr:spPr bwMode="auto">
          <a:xfrm flipH="1" flipV="1">
            <a:off x="10777723" y="7115652"/>
            <a:ext cx="6436" cy="1850576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67" name="直線接點 66"/>
          <xdr:cNvCxnSpPr/>
        </xdr:nvCxnSpPr>
        <xdr:spPr bwMode="auto">
          <a:xfrm flipV="1">
            <a:off x="10951427" y="7115653"/>
            <a:ext cx="2509" cy="1845928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68" name="直線接點 67"/>
          <xdr:cNvCxnSpPr/>
        </xdr:nvCxnSpPr>
        <xdr:spPr bwMode="auto">
          <a:xfrm flipV="1">
            <a:off x="11127988" y="7115652"/>
            <a:ext cx="2160" cy="1855222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69" name="直線接點 68"/>
          <xdr:cNvCxnSpPr/>
        </xdr:nvCxnSpPr>
        <xdr:spPr bwMode="auto">
          <a:xfrm flipH="1" flipV="1">
            <a:off x="11306362" y="7115652"/>
            <a:ext cx="3775" cy="1850323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70" name="直線接點 69"/>
          <xdr:cNvCxnSpPr/>
        </xdr:nvCxnSpPr>
        <xdr:spPr bwMode="auto">
          <a:xfrm flipH="1" flipV="1">
            <a:off x="11482573" y="7115652"/>
            <a:ext cx="13007" cy="1854538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71" name="直線接點 70"/>
          <xdr:cNvCxnSpPr/>
        </xdr:nvCxnSpPr>
        <xdr:spPr bwMode="auto">
          <a:xfrm flipV="1">
            <a:off x="11657671" y="7115652"/>
            <a:ext cx="4290" cy="1859868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72" name="直線接點 71"/>
          <xdr:cNvCxnSpPr/>
        </xdr:nvCxnSpPr>
        <xdr:spPr bwMode="auto">
          <a:xfrm flipH="1" flipV="1">
            <a:off x="11841820" y="7115653"/>
            <a:ext cx="5412" cy="2389016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73" name="直線接點 72"/>
          <xdr:cNvCxnSpPr/>
        </xdr:nvCxnSpPr>
        <xdr:spPr bwMode="auto">
          <a:xfrm flipH="1" flipV="1">
            <a:off x="12014033" y="7115652"/>
            <a:ext cx="9354" cy="2381506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74" name="直線接點 73"/>
          <xdr:cNvCxnSpPr/>
        </xdr:nvCxnSpPr>
        <xdr:spPr bwMode="auto">
          <a:xfrm flipV="1">
            <a:off x="12191306" y="7115653"/>
            <a:ext cx="2939" cy="2401022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75" name="直線接點 74"/>
          <xdr:cNvCxnSpPr/>
        </xdr:nvCxnSpPr>
        <xdr:spPr bwMode="auto">
          <a:xfrm flipV="1">
            <a:off x="12358958" y="7115654"/>
            <a:ext cx="11500" cy="2130284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76" name="直線接點 75"/>
          <xdr:cNvCxnSpPr/>
        </xdr:nvCxnSpPr>
        <xdr:spPr bwMode="auto">
          <a:xfrm flipV="1">
            <a:off x="12540166" y="7115652"/>
            <a:ext cx="9679" cy="2116347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77" name="直線接點 76"/>
          <xdr:cNvCxnSpPr/>
        </xdr:nvCxnSpPr>
        <xdr:spPr bwMode="auto">
          <a:xfrm flipV="1">
            <a:off x="12725710" y="7110932"/>
            <a:ext cx="10185" cy="2116421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78" name="直線接點 77"/>
          <xdr:cNvCxnSpPr/>
        </xdr:nvCxnSpPr>
        <xdr:spPr bwMode="auto">
          <a:xfrm flipV="1">
            <a:off x="12897624" y="7123499"/>
            <a:ext cx="9293" cy="2103854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79" name="直線接點 78"/>
          <xdr:cNvCxnSpPr/>
        </xdr:nvCxnSpPr>
        <xdr:spPr bwMode="auto">
          <a:xfrm>
            <a:off x="11861800" y="9220200"/>
            <a:ext cx="1079500" cy="12700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</xdr:grpSp>
    <xdr:clientData/>
  </xdr:twoCellAnchor>
  <xdr:twoCellAnchor editAs="oneCell">
    <xdr:from>
      <xdr:col>5</xdr:col>
      <xdr:colOff>0</xdr:colOff>
      <xdr:row>0</xdr:row>
      <xdr:rowOff>63500</xdr:rowOff>
    </xdr:from>
    <xdr:to>
      <xdr:col>10</xdr:col>
      <xdr:colOff>241300</xdr:colOff>
      <xdr:row>0</xdr:row>
      <xdr:rowOff>554518</xdr:rowOff>
    </xdr:to>
    <xdr:pic>
      <xdr:nvPicPr>
        <xdr:cNvPr id="17" name="圖片 16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25800" y="63500"/>
          <a:ext cx="5257800" cy="491018"/>
        </a:xfrm>
        <a:prstGeom prst="rect">
          <a:avLst/>
        </a:prstGeom>
      </xdr:spPr>
    </xdr:pic>
    <xdr:clientData/>
  </xdr:twoCellAnchor>
  <xdr:twoCellAnchor>
    <xdr:from>
      <xdr:col>7</xdr:col>
      <xdr:colOff>555625</xdr:colOff>
      <xdr:row>13</xdr:row>
      <xdr:rowOff>152400</xdr:rowOff>
    </xdr:from>
    <xdr:to>
      <xdr:col>7</xdr:col>
      <xdr:colOff>555625</xdr:colOff>
      <xdr:row>13</xdr:row>
      <xdr:rowOff>152400</xdr:rowOff>
    </xdr:to>
    <xdr:cxnSp macro="">
      <xdr:nvCxnSpPr>
        <xdr:cNvPr id="2" name="直線接點 1"/>
        <xdr:cNvCxnSpPr/>
      </xdr:nvCxnSpPr>
      <xdr:spPr bwMode="auto">
        <a:xfrm>
          <a:off x="6985000" y="3810000"/>
          <a:ext cx="0" cy="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7</xdr:col>
      <xdr:colOff>555625</xdr:colOff>
      <xdr:row>13</xdr:row>
      <xdr:rowOff>152400</xdr:rowOff>
    </xdr:from>
    <xdr:to>
      <xdr:col>7</xdr:col>
      <xdr:colOff>555625</xdr:colOff>
      <xdr:row>13</xdr:row>
      <xdr:rowOff>152400</xdr:rowOff>
    </xdr:to>
    <xdr:cxnSp macro="">
      <xdr:nvCxnSpPr>
        <xdr:cNvPr id="3" name="直線接點 2"/>
        <xdr:cNvCxnSpPr/>
      </xdr:nvCxnSpPr>
      <xdr:spPr bwMode="auto">
        <a:xfrm>
          <a:off x="6985000" y="3810000"/>
          <a:ext cx="0" cy="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8</xdr:col>
      <xdr:colOff>641668</xdr:colOff>
      <xdr:row>20</xdr:row>
      <xdr:rowOff>187642</xdr:rowOff>
    </xdr:from>
    <xdr:to>
      <xdr:col>8</xdr:col>
      <xdr:colOff>713105</xdr:colOff>
      <xdr:row>20</xdr:row>
      <xdr:rowOff>195580</xdr:rowOff>
    </xdr:to>
    <xdr:sp macro="" textlink="">
      <xdr:nvSpPr>
        <xdr:cNvPr id="4" name="矩形 3"/>
        <xdr:cNvSpPr/>
      </xdr:nvSpPr>
      <xdr:spPr bwMode="auto">
        <a:xfrm>
          <a:off x="8071168" y="5445442"/>
          <a:ext cx="71437" cy="793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0000FF" mc:Ignorable="a14" a14:legacySpreadsheetColorIndex="12"/>
        </a:solidFill>
        <a:ln w="38100" cap="flat" cmpd="sng" algn="ctr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zh-TW" altLang="en-US" sz="1100"/>
        </a:p>
      </xdr:txBody>
    </xdr:sp>
    <xdr:clientData/>
  </xdr:twoCellAnchor>
  <xdr:twoCellAnchor>
    <xdr:from>
      <xdr:col>5</xdr:col>
      <xdr:colOff>15875</xdr:colOff>
      <xdr:row>3</xdr:row>
      <xdr:rowOff>114300</xdr:rowOff>
    </xdr:from>
    <xdr:to>
      <xdr:col>8</xdr:col>
      <xdr:colOff>677387</xdr:colOff>
      <xdr:row>20</xdr:row>
      <xdr:rowOff>191611</xdr:rowOff>
    </xdr:to>
    <xdr:cxnSp macro="">
      <xdr:nvCxnSpPr>
        <xdr:cNvPr id="5" name="直線接點 4"/>
        <xdr:cNvCxnSpPr/>
      </xdr:nvCxnSpPr>
      <xdr:spPr bwMode="auto">
        <a:xfrm>
          <a:off x="4445000" y="1485900"/>
          <a:ext cx="3661887" cy="3963511"/>
        </a:xfrm>
        <a:prstGeom prst="line">
          <a:avLst/>
        </a:prstGeom>
        <a:solidFill>
          <a:srgbClr val="FFFFFF"/>
        </a:solidFill>
        <a:ln w="3175" cap="rnd" cmpd="sng" algn="ctr">
          <a:solidFill>
            <a:srgbClr xmlns:mc="http://schemas.openxmlformats.org/markup-compatibility/2006" xmlns:a14="http://schemas.microsoft.com/office/drawing/2010/main" val="00FF00" mc:Ignorable="a14" a14:legacySpreadsheetColorIndex="3"/>
          </a:solidFill>
          <a:prstDash val="dot"/>
          <a:round/>
          <a:headEnd type="oval" w="med" len="med"/>
          <a:tailEnd type="oval" w="med" len="med"/>
        </a:ln>
        <a:effectLst/>
      </xdr:spPr>
    </xdr:cxnSp>
    <xdr:clientData/>
  </xdr:twoCellAnchor>
  <xdr:twoCellAnchor>
    <xdr:from>
      <xdr:col>6</xdr:col>
      <xdr:colOff>399415</xdr:colOff>
      <xdr:row>6</xdr:row>
      <xdr:rowOff>109220</xdr:rowOff>
    </xdr:from>
    <xdr:to>
      <xdr:col>6</xdr:col>
      <xdr:colOff>470853</xdr:colOff>
      <xdr:row>6</xdr:row>
      <xdr:rowOff>117158</xdr:rowOff>
    </xdr:to>
    <xdr:sp macro="" textlink="">
      <xdr:nvSpPr>
        <xdr:cNvPr id="6" name="矩形 5"/>
        <xdr:cNvSpPr/>
      </xdr:nvSpPr>
      <xdr:spPr bwMode="auto">
        <a:xfrm>
          <a:off x="5828665" y="2166620"/>
          <a:ext cx="71438" cy="793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0000FF" mc:Ignorable="a14" a14:legacySpreadsheetColorIndex="12"/>
        </a:solidFill>
        <a:ln w="38100" cap="flat" cmpd="sng" algn="ctr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zh-TW" altLang="en-US" sz="1100"/>
        </a:p>
      </xdr:txBody>
    </xdr:sp>
    <xdr:clientData/>
  </xdr:twoCellAnchor>
  <xdr:twoCellAnchor>
    <xdr:from>
      <xdr:col>5</xdr:col>
      <xdr:colOff>15875</xdr:colOff>
      <xdr:row>4</xdr:row>
      <xdr:rowOff>114300</xdr:rowOff>
    </xdr:from>
    <xdr:to>
      <xdr:col>6</xdr:col>
      <xdr:colOff>435134</xdr:colOff>
      <xdr:row>6</xdr:row>
      <xdr:rowOff>113189</xdr:rowOff>
    </xdr:to>
    <xdr:cxnSp macro="">
      <xdr:nvCxnSpPr>
        <xdr:cNvPr id="7" name="直線接點 6"/>
        <xdr:cNvCxnSpPr/>
      </xdr:nvCxnSpPr>
      <xdr:spPr bwMode="auto">
        <a:xfrm>
          <a:off x="4445000" y="1714500"/>
          <a:ext cx="1419384" cy="456089"/>
        </a:xfrm>
        <a:prstGeom prst="line">
          <a:avLst/>
        </a:prstGeom>
        <a:solidFill>
          <a:srgbClr val="FFFFFF"/>
        </a:solidFill>
        <a:ln w="3175" cap="rnd" cmpd="sng" algn="ctr">
          <a:solidFill>
            <a:srgbClr xmlns:mc="http://schemas.openxmlformats.org/markup-compatibility/2006" xmlns:a14="http://schemas.microsoft.com/office/drawing/2010/main" val="00FF00" mc:Ignorable="a14" a14:legacySpreadsheetColorIndex="3"/>
          </a:solidFill>
          <a:prstDash val="dot"/>
          <a:round/>
          <a:headEnd type="oval" w="med" len="med"/>
          <a:tailEnd type="oval" w="med" len="med"/>
        </a:ln>
        <a:effectLst/>
      </xdr:spPr>
    </xdr:cxnSp>
    <xdr:clientData/>
  </xdr:twoCellAnchor>
  <xdr:twoCellAnchor>
    <xdr:from>
      <xdr:col>6</xdr:col>
      <xdr:colOff>434340</xdr:colOff>
      <xdr:row>20</xdr:row>
      <xdr:rowOff>187642</xdr:rowOff>
    </xdr:from>
    <xdr:to>
      <xdr:col>6</xdr:col>
      <xdr:colOff>505778</xdr:colOff>
      <xdr:row>20</xdr:row>
      <xdr:rowOff>195580</xdr:rowOff>
    </xdr:to>
    <xdr:sp macro="" textlink="">
      <xdr:nvSpPr>
        <xdr:cNvPr id="8" name="矩形 7"/>
        <xdr:cNvSpPr/>
      </xdr:nvSpPr>
      <xdr:spPr bwMode="auto">
        <a:xfrm>
          <a:off x="5863590" y="5445442"/>
          <a:ext cx="71438" cy="793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0000FF" mc:Ignorable="a14" a14:legacySpreadsheetColorIndex="12"/>
        </a:solidFill>
        <a:ln w="38100" cap="flat" cmpd="sng" algn="ctr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zh-TW" altLang="en-US" sz="1100"/>
        </a:p>
      </xdr:txBody>
    </xdr:sp>
    <xdr:clientData/>
  </xdr:twoCellAnchor>
  <xdr:twoCellAnchor>
    <xdr:from>
      <xdr:col>5</xdr:col>
      <xdr:colOff>15875</xdr:colOff>
      <xdr:row>5</xdr:row>
      <xdr:rowOff>114300</xdr:rowOff>
    </xdr:from>
    <xdr:to>
      <xdr:col>6</xdr:col>
      <xdr:colOff>470059</xdr:colOff>
      <xdr:row>20</xdr:row>
      <xdr:rowOff>191611</xdr:rowOff>
    </xdr:to>
    <xdr:cxnSp macro="">
      <xdr:nvCxnSpPr>
        <xdr:cNvPr id="9" name="直線接點 8"/>
        <xdr:cNvCxnSpPr/>
      </xdr:nvCxnSpPr>
      <xdr:spPr bwMode="auto">
        <a:xfrm>
          <a:off x="4445000" y="1943100"/>
          <a:ext cx="1454309" cy="3506311"/>
        </a:xfrm>
        <a:prstGeom prst="line">
          <a:avLst/>
        </a:prstGeom>
        <a:solidFill>
          <a:srgbClr val="FFFFFF"/>
        </a:solidFill>
        <a:ln w="3175" cap="rnd" cmpd="sng" algn="ctr">
          <a:solidFill>
            <a:srgbClr xmlns:mc="http://schemas.openxmlformats.org/markup-compatibility/2006" xmlns:a14="http://schemas.microsoft.com/office/drawing/2010/main" val="00FF00" mc:Ignorable="a14" a14:legacySpreadsheetColorIndex="3"/>
          </a:solidFill>
          <a:prstDash val="dot"/>
          <a:round/>
          <a:headEnd type="oval" w="med" len="med"/>
          <a:tailEnd type="oval" w="med" len="med"/>
        </a:ln>
        <a:effectLst/>
      </xdr:spPr>
    </xdr:cxnSp>
    <xdr:clientData/>
  </xdr:twoCellAnchor>
  <xdr:twoCellAnchor>
    <xdr:from>
      <xdr:col>8</xdr:col>
      <xdr:colOff>641668</xdr:colOff>
      <xdr:row>6</xdr:row>
      <xdr:rowOff>109220</xdr:rowOff>
    </xdr:from>
    <xdr:to>
      <xdr:col>8</xdr:col>
      <xdr:colOff>713105</xdr:colOff>
      <xdr:row>6</xdr:row>
      <xdr:rowOff>117158</xdr:rowOff>
    </xdr:to>
    <xdr:sp macro="" textlink="">
      <xdr:nvSpPr>
        <xdr:cNvPr id="10" name="矩形 9"/>
        <xdr:cNvSpPr/>
      </xdr:nvSpPr>
      <xdr:spPr bwMode="auto">
        <a:xfrm>
          <a:off x="8071168" y="2166620"/>
          <a:ext cx="71437" cy="793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0000FF" mc:Ignorable="a14" a14:legacySpreadsheetColorIndex="12"/>
        </a:solidFill>
        <a:ln w="38100" cap="flat" cmpd="sng" algn="ctr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zh-TW" altLang="en-US" sz="1100"/>
        </a:p>
      </xdr:txBody>
    </xdr:sp>
    <xdr:clientData/>
  </xdr:twoCellAnchor>
  <xdr:twoCellAnchor>
    <xdr:from>
      <xdr:col>5</xdr:col>
      <xdr:colOff>15875</xdr:colOff>
      <xdr:row>6</xdr:row>
      <xdr:rowOff>113189</xdr:rowOff>
    </xdr:from>
    <xdr:to>
      <xdr:col>8</xdr:col>
      <xdr:colOff>677387</xdr:colOff>
      <xdr:row>6</xdr:row>
      <xdr:rowOff>114300</xdr:rowOff>
    </xdr:to>
    <xdr:cxnSp macro="">
      <xdr:nvCxnSpPr>
        <xdr:cNvPr id="11" name="直線接點 10"/>
        <xdr:cNvCxnSpPr/>
      </xdr:nvCxnSpPr>
      <xdr:spPr bwMode="auto">
        <a:xfrm flipV="1">
          <a:off x="4445000" y="2170589"/>
          <a:ext cx="3661887" cy="1111"/>
        </a:xfrm>
        <a:prstGeom prst="line">
          <a:avLst/>
        </a:prstGeom>
        <a:solidFill>
          <a:srgbClr val="FFFFFF"/>
        </a:solidFill>
        <a:ln w="3175" cap="rnd" cmpd="sng" algn="ctr">
          <a:solidFill>
            <a:srgbClr xmlns:mc="http://schemas.openxmlformats.org/markup-compatibility/2006" xmlns:a14="http://schemas.microsoft.com/office/drawing/2010/main" val="00FF00" mc:Ignorable="a14" a14:legacySpreadsheetColorIndex="3"/>
          </a:solidFill>
          <a:prstDash val="dot"/>
          <a:round/>
          <a:headEnd type="oval" w="med" len="med"/>
          <a:tailEnd type="oval" w="med" len="med"/>
        </a:ln>
        <a:effectLst/>
      </xdr:spPr>
    </xdr:cxnSp>
    <xdr:clientData/>
  </xdr:twoCellAnchor>
  <xdr:twoCellAnchor>
    <xdr:from>
      <xdr:col>5</xdr:col>
      <xdr:colOff>822325</xdr:colOff>
      <xdr:row>6</xdr:row>
      <xdr:rowOff>103188</xdr:rowOff>
    </xdr:from>
    <xdr:to>
      <xdr:col>5</xdr:col>
      <xdr:colOff>822325</xdr:colOff>
      <xdr:row>20</xdr:row>
      <xdr:rowOff>201613</xdr:rowOff>
    </xdr:to>
    <xdr:cxnSp macro="">
      <xdr:nvCxnSpPr>
        <xdr:cNvPr id="12" name="直線接點 11"/>
        <xdr:cNvCxnSpPr/>
      </xdr:nvCxnSpPr>
      <xdr:spPr bwMode="auto">
        <a:xfrm flipV="1">
          <a:off x="5251450" y="2160588"/>
          <a:ext cx="0" cy="3298825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9</xdr:col>
      <xdr:colOff>288925</xdr:colOff>
      <xdr:row>6</xdr:row>
      <xdr:rowOff>103188</xdr:rowOff>
    </xdr:from>
    <xdr:to>
      <xdr:col>9</xdr:col>
      <xdr:colOff>288925</xdr:colOff>
      <xdr:row>20</xdr:row>
      <xdr:rowOff>201613</xdr:rowOff>
    </xdr:to>
    <xdr:cxnSp macro="">
      <xdr:nvCxnSpPr>
        <xdr:cNvPr id="13" name="直線接點 12"/>
        <xdr:cNvCxnSpPr/>
      </xdr:nvCxnSpPr>
      <xdr:spPr bwMode="auto">
        <a:xfrm flipV="1">
          <a:off x="8718550" y="2160588"/>
          <a:ext cx="0" cy="3298825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822325</xdr:colOff>
      <xdr:row>20</xdr:row>
      <xdr:rowOff>201613</xdr:rowOff>
    </xdr:from>
    <xdr:to>
      <xdr:col>9</xdr:col>
      <xdr:colOff>288925</xdr:colOff>
      <xdr:row>20</xdr:row>
      <xdr:rowOff>201613</xdr:rowOff>
    </xdr:to>
    <xdr:cxnSp macro="">
      <xdr:nvCxnSpPr>
        <xdr:cNvPr id="14" name="直線接點 13"/>
        <xdr:cNvCxnSpPr/>
      </xdr:nvCxnSpPr>
      <xdr:spPr bwMode="auto">
        <a:xfrm>
          <a:off x="5251450" y="5459413"/>
          <a:ext cx="3467100" cy="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822325</xdr:colOff>
      <xdr:row>6</xdr:row>
      <xdr:rowOff>103188</xdr:rowOff>
    </xdr:from>
    <xdr:to>
      <xdr:col>9</xdr:col>
      <xdr:colOff>288925</xdr:colOff>
      <xdr:row>6</xdr:row>
      <xdr:rowOff>103188</xdr:rowOff>
    </xdr:to>
    <xdr:cxnSp macro="">
      <xdr:nvCxnSpPr>
        <xdr:cNvPr id="15" name="直線接點 14"/>
        <xdr:cNvCxnSpPr/>
      </xdr:nvCxnSpPr>
      <xdr:spPr bwMode="auto">
        <a:xfrm>
          <a:off x="5251450" y="2160588"/>
          <a:ext cx="3467100" cy="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821534</xdr:colOff>
      <xdr:row>6</xdr:row>
      <xdr:rowOff>95249</xdr:rowOff>
    </xdr:from>
    <xdr:to>
      <xdr:col>9</xdr:col>
      <xdr:colOff>297656</xdr:colOff>
      <xdr:row>20</xdr:row>
      <xdr:rowOff>214311</xdr:rowOff>
    </xdr:to>
    <xdr:grpSp>
      <xdr:nvGrpSpPr>
        <xdr:cNvPr id="17" name="群組 16"/>
        <xdr:cNvGrpSpPr/>
      </xdr:nvGrpSpPr>
      <xdr:grpSpPr>
        <a:xfrm>
          <a:off x="6191253" y="2143124"/>
          <a:ext cx="3476622" cy="3286125"/>
          <a:chOff x="9474200" y="6191123"/>
          <a:chExt cx="3489325" cy="3325552"/>
        </a:xfrm>
      </xdr:grpSpPr>
      <xdr:cxnSp macro="">
        <xdr:nvCxnSpPr>
          <xdr:cNvPr id="18" name="直線接點 17"/>
          <xdr:cNvCxnSpPr/>
        </xdr:nvCxnSpPr>
        <xdr:spPr bwMode="auto">
          <a:xfrm>
            <a:off x="11223625" y="7854823"/>
            <a:ext cx="0" cy="0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19" name="直線接點 18"/>
          <xdr:cNvCxnSpPr/>
        </xdr:nvCxnSpPr>
        <xdr:spPr bwMode="auto">
          <a:xfrm>
            <a:off x="11376025" y="8007223"/>
            <a:ext cx="0" cy="0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20" name="直線接點 19"/>
          <xdr:cNvCxnSpPr/>
        </xdr:nvCxnSpPr>
        <xdr:spPr bwMode="auto">
          <a:xfrm flipV="1">
            <a:off x="9483725" y="6205411"/>
            <a:ext cx="0" cy="3298825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21" name="直線接點 20"/>
          <xdr:cNvCxnSpPr/>
        </xdr:nvCxnSpPr>
        <xdr:spPr bwMode="auto">
          <a:xfrm flipV="1">
            <a:off x="12963525" y="6205411"/>
            <a:ext cx="0" cy="3298825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22" name="直線接點 21"/>
          <xdr:cNvCxnSpPr/>
        </xdr:nvCxnSpPr>
        <xdr:spPr bwMode="auto">
          <a:xfrm>
            <a:off x="9483725" y="9504236"/>
            <a:ext cx="3479800" cy="0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23" name="直線接點 22"/>
          <xdr:cNvCxnSpPr/>
        </xdr:nvCxnSpPr>
        <xdr:spPr bwMode="auto">
          <a:xfrm>
            <a:off x="9483725" y="6205411"/>
            <a:ext cx="3479800" cy="0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24" name="直線接點 23"/>
          <xdr:cNvCxnSpPr/>
        </xdr:nvCxnSpPr>
        <xdr:spPr bwMode="auto">
          <a:xfrm>
            <a:off x="9474200" y="6915118"/>
            <a:ext cx="3479800" cy="0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25" name="直線接點 24"/>
          <xdr:cNvCxnSpPr/>
        </xdr:nvCxnSpPr>
        <xdr:spPr bwMode="auto">
          <a:xfrm>
            <a:off x="9474200" y="6683343"/>
            <a:ext cx="3479800" cy="0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26" name="直線接點 25"/>
          <xdr:cNvCxnSpPr/>
        </xdr:nvCxnSpPr>
        <xdr:spPr bwMode="auto">
          <a:xfrm>
            <a:off x="9474200" y="6451568"/>
            <a:ext cx="3479800" cy="0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27" name="直線接點 26"/>
          <xdr:cNvCxnSpPr/>
        </xdr:nvCxnSpPr>
        <xdr:spPr bwMode="auto">
          <a:xfrm flipH="1" flipV="1">
            <a:off x="9626601" y="6452727"/>
            <a:ext cx="4526" cy="684546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28" name="直線接點 27"/>
          <xdr:cNvCxnSpPr/>
        </xdr:nvCxnSpPr>
        <xdr:spPr bwMode="auto">
          <a:xfrm flipH="1" flipV="1">
            <a:off x="9774237" y="6452727"/>
            <a:ext cx="3632" cy="667634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29" name="直線接點 28"/>
          <xdr:cNvCxnSpPr/>
        </xdr:nvCxnSpPr>
        <xdr:spPr bwMode="auto">
          <a:xfrm flipH="1" flipV="1">
            <a:off x="9918700" y="6452731"/>
            <a:ext cx="629" cy="672345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30" name="直線接點 29"/>
          <xdr:cNvCxnSpPr/>
        </xdr:nvCxnSpPr>
        <xdr:spPr bwMode="auto">
          <a:xfrm flipV="1">
            <a:off x="10060789" y="6457444"/>
            <a:ext cx="2373" cy="672348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31" name="直線接點 30"/>
          <xdr:cNvCxnSpPr/>
        </xdr:nvCxnSpPr>
        <xdr:spPr bwMode="auto">
          <a:xfrm flipV="1">
            <a:off x="10206965" y="6448012"/>
            <a:ext cx="660" cy="677064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32" name="直線接點 31"/>
          <xdr:cNvCxnSpPr/>
        </xdr:nvCxnSpPr>
        <xdr:spPr bwMode="auto">
          <a:xfrm flipV="1">
            <a:off x="10348425" y="6191123"/>
            <a:ext cx="3662" cy="929238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33" name="直線接點 32"/>
          <xdr:cNvCxnSpPr/>
        </xdr:nvCxnSpPr>
        <xdr:spPr bwMode="auto">
          <a:xfrm flipV="1">
            <a:off x="10494601" y="6191124"/>
            <a:ext cx="1949" cy="924522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34" name="直線接點 33"/>
          <xdr:cNvCxnSpPr/>
        </xdr:nvCxnSpPr>
        <xdr:spPr bwMode="auto">
          <a:xfrm flipV="1">
            <a:off x="10636062" y="6191124"/>
            <a:ext cx="4950" cy="933952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35" name="直線接點 34"/>
          <xdr:cNvCxnSpPr/>
        </xdr:nvCxnSpPr>
        <xdr:spPr bwMode="auto">
          <a:xfrm flipH="1" flipV="1">
            <a:off x="10788651" y="6191124"/>
            <a:ext cx="1948" cy="929237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36" name="直線接點 35"/>
          <xdr:cNvCxnSpPr/>
        </xdr:nvCxnSpPr>
        <xdr:spPr bwMode="auto">
          <a:xfrm flipV="1">
            <a:off x="10927344" y="6191124"/>
            <a:ext cx="5768" cy="924522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37" name="直線接點 36"/>
          <xdr:cNvCxnSpPr/>
        </xdr:nvCxnSpPr>
        <xdr:spPr bwMode="auto">
          <a:xfrm flipV="1">
            <a:off x="11073519" y="6191124"/>
            <a:ext cx="4056" cy="919806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38" name="直線接點 37"/>
          <xdr:cNvCxnSpPr/>
        </xdr:nvCxnSpPr>
        <xdr:spPr bwMode="auto">
          <a:xfrm flipV="1">
            <a:off x="11214980" y="6191123"/>
            <a:ext cx="7057" cy="924523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39" name="直線接點 38"/>
          <xdr:cNvCxnSpPr/>
        </xdr:nvCxnSpPr>
        <xdr:spPr bwMode="auto">
          <a:xfrm flipV="1">
            <a:off x="11356440" y="6191123"/>
            <a:ext cx="10060" cy="933953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40" name="直線接點 39"/>
          <xdr:cNvCxnSpPr/>
        </xdr:nvCxnSpPr>
        <xdr:spPr bwMode="auto">
          <a:xfrm flipV="1">
            <a:off x="11502616" y="6191124"/>
            <a:ext cx="8346" cy="948098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41" name="直線接點 40"/>
          <xdr:cNvCxnSpPr/>
        </xdr:nvCxnSpPr>
        <xdr:spPr bwMode="auto">
          <a:xfrm flipV="1">
            <a:off x="11648792" y="6191123"/>
            <a:ext cx="6633" cy="943384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42" name="直線接點 41"/>
          <xdr:cNvCxnSpPr/>
        </xdr:nvCxnSpPr>
        <xdr:spPr bwMode="auto">
          <a:xfrm flipV="1">
            <a:off x="11798614" y="6191123"/>
            <a:ext cx="4448" cy="929238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43" name="直線接點 42"/>
          <xdr:cNvCxnSpPr/>
        </xdr:nvCxnSpPr>
        <xdr:spPr bwMode="auto">
          <a:xfrm flipV="1">
            <a:off x="11940075" y="6191123"/>
            <a:ext cx="7450" cy="938669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44" name="直線接點 43"/>
          <xdr:cNvCxnSpPr/>
        </xdr:nvCxnSpPr>
        <xdr:spPr bwMode="auto">
          <a:xfrm flipV="1">
            <a:off x="12086251" y="6191123"/>
            <a:ext cx="5736" cy="929238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45" name="直線接點 44"/>
          <xdr:cNvCxnSpPr/>
        </xdr:nvCxnSpPr>
        <xdr:spPr bwMode="auto">
          <a:xfrm flipV="1">
            <a:off x="12232426" y="6457442"/>
            <a:ext cx="4026" cy="662919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46" name="直線接點 45"/>
          <xdr:cNvCxnSpPr/>
        </xdr:nvCxnSpPr>
        <xdr:spPr bwMode="auto">
          <a:xfrm flipV="1">
            <a:off x="12373887" y="6462164"/>
            <a:ext cx="7025" cy="662912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47" name="直線接點 46"/>
          <xdr:cNvCxnSpPr/>
        </xdr:nvCxnSpPr>
        <xdr:spPr bwMode="auto">
          <a:xfrm flipV="1">
            <a:off x="12524778" y="6462164"/>
            <a:ext cx="597" cy="662912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48" name="直線接點 47"/>
          <xdr:cNvCxnSpPr/>
        </xdr:nvCxnSpPr>
        <xdr:spPr bwMode="auto">
          <a:xfrm flipV="1">
            <a:off x="12666238" y="6462163"/>
            <a:ext cx="10420" cy="653483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49" name="直線接點 48"/>
          <xdr:cNvCxnSpPr/>
        </xdr:nvCxnSpPr>
        <xdr:spPr bwMode="auto">
          <a:xfrm flipV="1">
            <a:off x="12816060" y="6462163"/>
            <a:ext cx="1415" cy="662913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50" name="直線接點 49"/>
          <xdr:cNvCxnSpPr/>
        </xdr:nvCxnSpPr>
        <xdr:spPr bwMode="auto">
          <a:xfrm>
            <a:off x="9477148" y="7120364"/>
            <a:ext cx="3479800" cy="0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51" name="直線接點 50"/>
          <xdr:cNvCxnSpPr/>
        </xdr:nvCxnSpPr>
        <xdr:spPr bwMode="auto">
          <a:xfrm>
            <a:off x="9527446" y="8969343"/>
            <a:ext cx="3375324" cy="0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52" name="直線接點 51"/>
          <xdr:cNvCxnSpPr/>
        </xdr:nvCxnSpPr>
        <xdr:spPr bwMode="auto">
          <a:xfrm>
            <a:off x="9527446" y="8703554"/>
            <a:ext cx="3375324" cy="0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53" name="直線接點 52"/>
          <xdr:cNvCxnSpPr/>
        </xdr:nvCxnSpPr>
        <xdr:spPr bwMode="auto">
          <a:xfrm>
            <a:off x="9527446" y="8437766"/>
            <a:ext cx="3375324" cy="0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54" name="直線接點 53"/>
          <xdr:cNvCxnSpPr/>
        </xdr:nvCxnSpPr>
        <xdr:spPr bwMode="auto">
          <a:xfrm>
            <a:off x="9527446" y="8171978"/>
            <a:ext cx="3375324" cy="0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55" name="直線接點 54"/>
          <xdr:cNvCxnSpPr/>
        </xdr:nvCxnSpPr>
        <xdr:spPr bwMode="auto">
          <a:xfrm>
            <a:off x="9527446" y="7903926"/>
            <a:ext cx="3375324" cy="0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56" name="直線接點 55"/>
          <xdr:cNvCxnSpPr/>
        </xdr:nvCxnSpPr>
        <xdr:spPr bwMode="auto">
          <a:xfrm>
            <a:off x="9527446" y="7638137"/>
            <a:ext cx="3375324" cy="0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57" name="直線接點 56"/>
          <xdr:cNvCxnSpPr/>
        </xdr:nvCxnSpPr>
        <xdr:spPr bwMode="auto">
          <a:xfrm>
            <a:off x="9527446" y="7372349"/>
            <a:ext cx="3375324" cy="0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58" name="直線接點 57"/>
          <xdr:cNvCxnSpPr/>
        </xdr:nvCxnSpPr>
        <xdr:spPr bwMode="auto">
          <a:xfrm flipH="1" flipV="1">
            <a:off x="9533768" y="7115653"/>
            <a:ext cx="11776" cy="1848772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59" name="直線接點 58"/>
          <xdr:cNvCxnSpPr/>
        </xdr:nvCxnSpPr>
        <xdr:spPr bwMode="auto">
          <a:xfrm flipH="1" flipV="1">
            <a:off x="9713627" y="7115652"/>
            <a:ext cx="16122" cy="1859868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60" name="直線接點 59"/>
          <xdr:cNvCxnSpPr/>
        </xdr:nvCxnSpPr>
        <xdr:spPr bwMode="auto">
          <a:xfrm flipH="1" flipV="1">
            <a:off x="9889840" y="7115652"/>
            <a:ext cx="2531" cy="1841283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61" name="直線接點 60"/>
          <xdr:cNvCxnSpPr/>
        </xdr:nvCxnSpPr>
        <xdr:spPr bwMode="auto">
          <a:xfrm flipV="1">
            <a:off x="10064285" y="7115652"/>
            <a:ext cx="1767" cy="1831990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62" name="直線接點 61"/>
          <xdr:cNvCxnSpPr/>
        </xdr:nvCxnSpPr>
        <xdr:spPr bwMode="auto">
          <a:xfrm flipH="1" flipV="1">
            <a:off x="10242265" y="7115652"/>
            <a:ext cx="7874" cy="1841283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63" name="直線接點 62"/>
          <xdr:cNvCxnSpPr/>
        </xdr:nvCxnSpPr>
        <xdr:spPr bwMode="auto">
          <a:xfrm flipV="1">
            <a:off x="10412761" y="7115652"/>
            <a:ext cx="5716" cy="1855222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64" name="直線接點 63"/>
          <xdr:cNvCxnSpPr/>
        </xdr:nvCxnSpPr>
        <xdr:spPr bwMode="auto">
          <a:xfrm flipH="1" flipV="1">
            <a:off x="10597865" y="7115652"/>
            <a:ext cx="749" cy="1850576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65" name="直線接點 64"/>
          <xdr:cNvCxnSpPr/>
        </xdr:nvCxnSpPr>
        <xdr:spPr bwMode="auto">
          <a:xfrm flipH="1" flipV="1">
            <a:off x="10777723" y="7115652"/>
            <a:ext cx="6436" cy="1850576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66" name="直線接點 65"/>
          <xdr:cNvCxnSpPr/>
        </xdr:nvCxnSpPr>
        <xdr:spPr bwMode="auto">
          <a:xfrm flipV="1">
            <a:off x="10951427" y="7115653"/>
            <a:ext cx="2509" cy="1845928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67" name="直線接點 66"/>
          <xdr:cNvCxnSpPr/>
        </xdr:nvCxnSpPr>
        <xdr:spPr bwMode="auto">
          <a:xfrm flipV="1">
            <a:off x="11127988" y="7115652"/>
            <a:ext cx="2160" cy="1855222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68" name="直線接點 67"/>
          <xdr:cNvCxnSpPr/>
        </xdr:nvCxnSpPr>
        <xdr:spPr bwMode="auto">
          <a:xfrm flipH="1" flipV="1">
            <a:off x="11306362" y="7115652"/>
            <a:ext cx="3775" cy="1850323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69" name="直線接點 68"/>
          <xdr:cNvCxnSpPr/>
        </xdr:nvCxnSpPr>
        <xdr:spPr bwMode="auto">
          <a:xfrm flipH="1" flipV="1">
            <a:off x="11482573" y="7115652"/>
            <a:ext cx="13007" cy="1854538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70" name="直線接點 69"/>
          <xdr:cNvCxnSpPr/>
        </xdr:nvCxnSpPr>
        <xdr:spPr bwMode="auto">
          <a:xfrm flipV="1">
            <a:off x="11657671" y="7115652"/>
            <a:ext cx="4290" cy="1859868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71" name="直線接點 70"/>
          <xdr:cNvCxnSpPr/>
        </xdr:nvCxnSpPr>
        <xdr:spPr bwMode="auto">
          <a:xfrm flipH="1" flipV="1">
            <a:off x="11841820" y="7115653"/>
            <a:ext cx="5412" cy="2389016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72" name="直線接點 71"/>
          <xdr:cNvCxnSpPr/>
        </xdr:nvCxnSpPr>
        <xdr:spPr bwMode="auto">
          <a:xfrm flipH="1" flipV="1">
            <a:off x="12014033" y="7115652"/>
            <a:ext cx="9354" cy="2381506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73" name="直線接點 72"/>
          <xdr:cNvCxnSpPr/>
        </xdr:nvCxnSpPr>
        <xdr:spPr bwMode="auto">
          <a:xfrm flipV="1">
            <a:off x="12191306" y="7115653"/>
            <a:ext cx="2939" cy="2401022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74" name="直線接點 73"/>
          <xdr:cNvCxnSpPr/>
        </xdr:nvCxnSpPr>
        <xdr:spPr bwMode="auto">
          <a:xfrm flipV="1">
            <a:off x="12358958" y="7115654"/>
            <a:ext cx="11500" cy="2130284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75" name="直線接點 74"/>
          <xdr:cNvCxnSpPr/>
        </xdr:nvCxnSpPr>
        <xdr:spPr bwMode="auto">
          <a:xfrm flipV="1">
            <a:off x="12540166" y="7115652"/>
            <a:ext cx="9679" cy="2116347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76" name="直線接點 75"/>
          <xdr:cNvCxnSpPr/>
        </xdr:nvCxnSpPr>
        <xdr:spPr bwMode="auto">
          <a:xfrm flipV="1">
            <a:off x="12725710" y="7110932"/>
            <a:ext cx="10185" cy="2116421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77" name="直線接點 76"/>
          <xdr:cNvCxnSpPr/>
        </xdr:nvCxnSpPr>
        <xdr:spPr bwMode="auto">
          <a:xfrm flipV="1">
            <a:off x="12897624" y="7123499"/>
            <a:ext cx="9293" cy="2103854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78" name="直線接點 77"/>
          <xdr:cNvCxnSpPr/>
        </xdr:nvCxnSpPr>
        <xdr:spPr bwMode="auto">
          <a:xfrm>
            <a:off x="11861800" y="9220200"/>
            <a:ext cx="1079500" cy="12700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</xdr:grpSp>
    <xdr:clientData/>
  </xdr:twoCellAnchor>
  <xdr:twoCellAnchor editAs="oneCell">
    <xdr:from>
      <xdr:col>5</xdr:col>
      <xdr:colOff>38100</xdr:colOff>
      <xdr:row>0</xdr:row>
      <xdr:rowOff>63500</xdr:rowOff>
    </xdr:from>
    <xdr:to>
      <xdr:col>10</xdr:col>
      <xdr:colOff>279400</xdr:colOff>
      <xdr:row>0</xdr:row>
      <xdr:rowOff>554518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63900" y="63500"/>
          <a:ext cx="5257800" cy="491018"/>
        </a:xfrm>
        <a:prstGeom prst="rect">
          <a:avLst/>
        </a:prstGeom>
      </xdr:spPr>
    </xdr:pic>
    <xdr:clientData/>
  </xdr:twoCellAnchor>
  <xdr:twoCellAnchor>
    <xdr:from>
      <xdr:col>7</xdr:col>
      <xdr:colOff>555625</xdr:colOff>
      <xdr:row>13</xdr:row>
      <xdr:rowOff>152400</xdr:rowOff>
    </xdr:from>
    <xdr:to>
      <xdr:col>7</xdr:col>
      <xdr:colOff>555625</xdr:colOff>
      <xdr:row>13</xdr:row>
      <xdr:rowOff>152400</xdr:rowOff>
    </xdr:to>
    <xdr:cxnSp macro="">
      <xdr:nvCxnSpPr>
        <xdr:cNvPr id="2" name="直線接點 1"/>
        <xdr:cNvCxnSpPr/>
      </xdr:nvCxnSpPr>
      <xdr:spPr bwMode="auto">
        <a:xfrm>
          <a:off x="6985000" y="3810000"/>
          <a:ext cx="0" cy="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7</xdr:col>
      <xdr:colOff>555625</xdr:colOff>
      <xdr:row>13</xdr:row>
      <xdr:rowOff>152400</xdr:rowOff>
    </xdr:from>
    <xdr:to>
      <xdr:col>7</xdr:col>
      <xdr:colOff>555625</xdr:colOff>
      <xdr:row>13</xdr:row>
      <xdr:rowOff>152400</xdr:rowOff>
    </xdr:to>
    <xdr:cxnSp macro="">
      <xdr:nvCxnSpPr>
        <xdr:cNvPr id="3" name="直線接點 2"/>
        <xdr:cNvCxnSpPr/>
      </xdr:nvCxnSpPr>
      <xdr:spPr bwMode="auto">
        <a:xfrm>
          <a:off x="6985000" y="3810000"/>
          <a:ext cx="0" cy="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9</xdr:col>
      <xdr:colOff>277495</xdr:colOff>
      <xdr:row>6</xdr:row>
      <xdr:rowOff>110808</xdr:rowOff>
    </xdr:from>
    <xdr:to>
      <xdr:col>9</xdr:col>
      <xdr:colOff>281305</xdr:colOff>
      <xdr:row>6</xdr:row>
      <xdr:rowOff>114618</xdr:rowOff>
    </xdr:to>
    <xdr:sp macro="" textlink="">
      <xdr:nvSpPr>
        <xdr:cNvPr id="4" name="矩形 3"/>
        <xdr:cNvSpPr/>
      </xdr:nvSpPr>
      <xdr:spPr bwMode="auto">
        <a:xfrm>
          <a:off x="8707120" y="2168208"/>
          <a:ext cx="3810" cy="381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38100" cap="flat" cmpd="sng" algn="ctr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zh-TW" altLang="en-US" sz="1100"/>
        </a:p>
      </xdr:txBody>
    </xdr:sp>
    <xdr:clientData/>
  </xdr:twoCellAnchor>
  <xdr:twoCellAnchor>
    <xdr:from>
      <xdr:col>5</xdr:col>
      <xdr:colOff>15875</xdr:colOff>
      <xdr:row>3</xdr:row>
      <xdr:rowOff>114300</xdr:rowOff>
    </xdr:from>
    <xdr:to>
      <xdr:col>9</xdr:col>
      <xdr:colOff>279400</xdr:colOff>
      <xdr:row>6</xdr:row>
      <xdr:rowOff>112713</xdr:rowOff>
    </xdr:to>
    <xdr:cxnSp macro="">
      <xdr:nvCxnSpPr>
        <xdr:cNvPr id="5" name="直線接點 4"/>
        <xdr:cNvCxnSpPr/>
      </xdr:nvCxnSpPr>
      <xdr:spPr bwMode="auto">
        <a:xfrm>
          <a:off x="4445000" y="1485900"/>
          <a:ext cx="4264025" cy="684213"/>
        </a:xfrm>
        <a:prstGeom prst="line">
          <a:avLst/>
        </a:prstGeom>
        <a:solidFill>
          <a:srgbClr val="FFFFFF"/>
        </a:solidFill>
        <a:ln w="3175" cap="rnd" cmpd="sng" algn="ctr">
          <a:solidFill>
            <a:srgbClr xmlns:mc="http://schemas.openxmlformats.org/markup-compatibility/2006" xmlns:a14="http://schemas.microsoft.com/office/drawing/2010/main" val="00FF00" mc:Ignorable="a14" a14:legacySpreadsheetColorIndex="3"/>
          </a:solidFill>
          <a:prstDash val="dot"/>
          <a:round/>
          <a:headEnd type="oval" w="med" len="med"/>
          <a:tailEnd type="oval" w="med" len="med"/>
        </a:ln>
        <a:effectLst/>
      </xdr:spPr>
    </xdr:cxnSp>
    <xdr:clientData/>
  </xdr:twoCellAnchor>
  <xdr:twoCellAnchor>
    <xdr:from>
      <xdr:col>5</xdr:col>
      <xdr:colOff>829945</xdr:colOff>
      <xdr:row>6</xdr:row>
      <xdr:rowOff>201613</xdr:rowOff>
    </xdr:from>
    <xdr:to>
      <xdr:col>5</xdr:col>
      <xdr:colOff>833755</xdr:colOff>
      <xdr:row>6</xdr:row>
      <xdr:rowOff>205423</xdr:rowOff>
    </xdr:to>
    <xdr:sp macro="" textlink="">
      <xdr:nvSpPr>
        <xdr:cNvPr id="6" name="矩形 5"/>
        <xdr:cNvSpPr/>
      </xdr:nvSpPr>
      <xdr:spPr bwMode="auto">
        <a:xfrm>
          <a:off x="5259070" y="2259013"/>
          <a:ext cx="3810" cy="381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38100" cap="flat" cmpd="sng" algn="ctr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zh-TW" altLang="en-US" sz="1100"/>
        </a:p>
      </xdr:txBody>
    </xdr:sp>
    <xdr:clientData/>
  </xdr:twoCellAnchor>
  <xdr:twoCellAnchor>
    <xdr:from>
      <xdr:col>5</xdr:col>
      <xdr:colOff>15875</xdr:colOff>
      <xdr:row>4</xdr:row>
      <xdr:rowOff>114300</xdr:rowOff>
    </xdr:from>
    <xdr:to>
      <xdr:col>5</xdr:col>
      <xdr:colOff>831850</xdr:colOff>
      <xdr:row>6</xdr:row>
      <xdr:rowOff>203517</xdr:rowOff>
    </xdr:to>
    <xdr:cxnSp macro="">
      <xdr:nvCxnSpPr>
        <xdr:cNvPr id="7" name="直線接點 6"/>
        <xdr:cNvCxnSpPr/>
      </xdr:nvCxnSpPr>
      <xdr:spPr bwMode="auto">
        <a:xfrm>
          <a:off x="4445000" y="1714500"/>
          <a:ext cx="815975" cy="546417"/>
        </a:xfrm>
        <a:prstGeom prst="line">
          <a:avLst/>
        </a:prstGeom>
        <a:solidFill>
          <a:srgbClr val="FFFFFF"/>
        </a:solidFill>
        <a:ln w="3175" cap="rnd" cmpd="sng" algn="ctr">
          <a:solidFill>
            <a:srgbClr xmlns:mc="http://schemas.openxmlformats.org/markup-compatibility/2006" xmlns:a14="http://schemas.microsoft.com/office/drawing/2010/main" val="00FF00" mc:Ignorable="a14" a14:legacySpreadsheetColorIndex="3"/>
          </a:solidFill>
          <a:prstDash val="dot"/>
          <a:round/>
          <a:headEnd type="oval" w="med" len="med"/>
          <a:tailEnd type="oval" w="med" len="med"/>
        </a:ln>
        <a:effectLst/>
      </xdr:spPr>
    </xdr:cxnSp>
    <xdr:clientData/>
  </xdr:twoCellAnchor>
  <xdr:twoCellAnchor>
    <xdr:from>
      <xdr:col>5</xdr:col>
      <xdr:colOff>866140</xdr:colOff>
      <xdr:row>20</xdr:row>
      <xdr:rowOff>190183</xdr:rowOff>
    </xdr:from>
    <xdr:to>
      <xdr:col>5</xdr:col>
      <xdr:colOff>869950</xdr:colOff>
      <xdr:row>20</xdr:row>
      <xdr:rowOff>193992</xdr:rowOff>
    </xdr:to>
    <xdr:sp macro="" textlink="">
      <xdr:nvSpPr>
        <xdr:cNvPr id="8" name="矩形 7"/>
        <xdr:cNvSpPr/>
      </xdr:nvSpPr>
      <xdr:spPr bwMode="auto">
        <a:xfrm>
          <a:off x="5295265" y="5447983"/>
          <a:ext cx="3810" cy="380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38100" cap="flat" cmpd="sng" algn="ctr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zh-TW" altLang="en-US" sz="1100"/>
        </a:p>
      </xdr:txBody>
    </xdr:sp>
    <xdr:clientData/>
  </xdr:twoCellAnchor>
  <xdr:twoCellAnchor>
    <xdr:from>
      <xdr:col>5</xdr:col>
      <xdr:colOff>15875</xdr:colOff>
      <xdr:row>5</xdr:row>
      <xdr:rowOff>114300</xdr:rowOff>
    </xdr:from>
    <xdr:to>
      <xdr:col>5</xdr:col>
      <xdr:colOff>868045</xdr:colOff>
      <xdr:row>20</xdr:row>
      <xdr:rowOff>192088</xdr:rowOff>
    </xdr:to>
    <xdr:cxnSp macro="">
      <xdr:nvCxnSpPr>
        <xdr:cNvPr id="9" name="直線接點 8"/>
        <xdr:cNvCxnSpPr/>
      </xdr:nvCxnSpPr>
      <xdr:spPr bwMode="auto">
        <a:xfrm>
          <a:off x="4445000" y="1943100"/>
          <a:ext cx="852170" cy="3506788"/>
        </a:xfrm>
        <a:prstGeom prst="line">
          <a:avLst/>
        </a:prstGeom>
        <a:solidFill>
          <a:srgbClr val="FFFFFF"/>
        </a:solidFill>
        <a:ln w="3175" cap="rnd" cmpd="sng" algn="ctr">
          <a:solidFill>
            <a:srgbClr xmlns:mc="http://schemas.openxmlformats.org/markup-compatibility/2006" xmlns:a14="http://schemas.microsoft.com/office/drawing/2010/main" val="00FF00" mc:Ignorable="a14" a14:legacySpreadsheetColorIndex="3"/>
          </a:solidFill>
          <a:prstDash val="dot"/>
          <a:round/>
          <a:headEnd type="oval" w="med" len="med"/>
          <a:tailEnd type="oval" w="med" len="med"/>
        </a:ln>
        <a:effectLst/>
      </xdr:spPr>
    </xdr:cxnSp>
    <xdr:clientData/>
  </xdr:twoCellAnchor>
  <xdr:twoCellAnchor>
    <xdr:from>
      <xdr:col>9</xdr:col>
      <xdr:colOff>277495</xdr:colOff>
      <xdr:row>20</xdr:row>
      <xdr:rowOff>190183</xdr:rowOff>
    </xdr:from>
    <xdr:to>
      <xdr:col>9</xdr:col>
      <xdr:colOff>281305</xdr:colOff>
      <xdr:row>20</xdr:row>
      <xdr:rowOff>193992</xdr:rowOff>
    </xdr:to>
    <xdr:sp macro="" textlink="">
      <xdr:nvSpPr>
        <xdr:cNvPr id="11" name="矩形 10"/>
        <xdr:cNvSpPr/>
      </xdr:nvSpPr>
      <xdr:spPr bwMode="auto">
        <a:xfrm>
          <a:off x="8707120" y="5447983"/>
          <a:ext cx="3810" cy="380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38100" cap="flat" cmpd="sng" algn="ctr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zh-TW" altLang="en-US" sz="1100"/>
        </a:p>
      </xdr:txBody>
    </xdr:sp>
    <xdr:clientData/>
  </xdr:twoCellAnchor>
  <xdr:twoCellAnchor>
    <xdr:from>
      <xdr:col>5</xdr:col>
      <xdr:colOff>15875</xdr:colOff>
      <xdr:row>6</xdr:row>
      <xdr:rowOff>114300</xdr:rowOff>
    </xdr:from>
    <xdr:to>
      <xdr:col>9</xdr:col>
      <xdr:colOff>279400</xdr:colOff>
      <xdr:row>20</xdr:row>
      <xdr:rowOff>192088</xdr:rowOff>
    </xdr:to>
    <xdr:cxnSp macro="">
      <xdr:nvCxnSpPr>
        <xdr:cNvPr id="12" name="直線接點 11"/>
        <xdr:cNvCxnSpPr/>
      </xdr:nvCxnSpPr>
      <xdr:spPr bwMode="auto">
        <a:xfrm>
          <a:off x="4445000" y="2171700"/>
          <a:ext cx="4264025" cy="3278188"/>
        </a:xfrm>
        <a:prstGeom prst="line">
          <a:avLst/>
        </a:prstGeom>
        <a:solidFill>
          <a:srgbClr val="FFFFFF"/>
        </a:solidFill>
        <a:ln w="3175" cap="rnd" cmpd="sng" algn="ctr">
          <a:solidFill>
            <a:srgbClr xmlns:mc="http://schemas.openxmlformats.org/markup-compatibility/2006" xmlns:a14="http://schemas.microsoft.com/office/drawing/2010/main" val="00FF00" mc:Ignorable="a14" a14:legacySpreadsheetColorIndex="3"/>
          </a:solidFill>
          <a:prstDash val="dot"/>
          <a:round/>
          <a:headEnd type="oval" w="med" len="med"/>
          <a:tailEnd type="oval" w="med" len="med"/>
        </a:ln>
        <a:effectLst/>
      </xdr:spPr>
    </xdr:cxnSp>
    <xdr:clientData/>
  </xdr:twoCellAnchor>
  <xdr:twoCellAnchor>
    <xdr:from>
      <xdr:col>5</xdr:col>
      <xdr:colOff>822325</xdr:colOff>
      <xdr:row>6</xdr:row>
      <xdr:rowOff>103188</xdr:rowOff>
    </xdr:from>
    <xdr:to>
      <xdr:col>5</xdr:col>
      <xdr:colOff>822325</xdr:colOff>
      <xdr:row>20</xdr:row>
      <xdr:rowOff>201613</xdr:rowOff>
    </xdr:to>
    <xdr:cxnSp macro="">
      <xdr:nvCxnSpPr>
        <xdr:cNvPr id="13" name="直線接點 12"/>
        <xdr:cNvCxnSpPr/>
      </xdr:nvCxnSpPr>
      <xdr:spPr bwMode="auto">
        <a:xfrm flipV="1">
          <a:off x="5251450" y="2160588"/>
          <a:ext cx="0" cy="3298825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9</xdr:col>
      <xdr:colOff>288925</xdr:colOff>
      <xdr:row>6</xdr:row>
      <xdr:rowOff>103188</xdr:rowOff>
    </xdr:from>
    <xdr:to>
      <xdr:col>9</xdr:col>
      <xdr:colOff>288925</xdr:colOff>
      <xdr:row>20</xdr:row>
      <xdr:rowOff>201613</xdr:rowOff>
    </xdr:to>
    <xdr:cxnSp macro="">
      <xdr:nvCxnSpPr>
        <xdr:cNvPr id="14" name="直線接點 13"/>
        <xdr:cNvCxnSpPr/>
      </xdr:nvCxnSpPr>
      <xdr:spPr bwMode="auto">
        <a:xfrm flipV="1">
          <a:off x="8718550" y="2160588"/>
          <a:ext cx="0" cy="3298825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822325</xdr:colOff>
      <xdr:row>20</xdr:row>
      <xdr:rowOff>201613</xdr:rowOff>
    </xdr:from>
    <xdr:to>
      <xdr:col>9</xdr:col>
      <xdr:colOff>288925</xdr:colOff>
      <xdr:row>20</xdr:row>
      <xdr:rowOff>201613</xdr:rowOff>
    </xdr:to>
    <xdr:cxnSp macro="">
      <xdr:nvCxnSpPr>
        <xdr:cNvPr id="15" name="直線接點 14"/>
        <xdr:cNvCxnSpPr/>
      </xdr:nvCxnSpPr>
      <xdr:spPr bwMode="auto">
        <a:xfrm>
          <a:off x="5251450" y="5459413"/>
          <a:ext cx="3467100" cy="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822325</xdr:colOff>
      <xdr:row>6</xdr:row>
      <xdr:rowOff>103188</xdr:rowOff>
    </xdr:from>
    <xdr:to>
      <xdr:col>9</xdr:col>
      <xdr:colOff>288925</xdr:colOff>
      <xdr:row>6</xdr:row>
      <xdr:rowOff>103188</xdr:rowOff>
    </xdr:to>
    <xdr:cxnSp macro="">
      <xdr:nvCxnSpPr>
        <xdr:cNvPr id="16" name="直線接點 15"/>
        <xdr:cNvCxnSpPr/>
      </xdr:nvCxnSpPr>
      <xdr:spPr bwMode="auto">
        <a:xfrm>
          <a:off x="5251450" y="2160588"/>
          <a:ext cx="3467100" cy="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330200</xdr:colOff>
      <xdr:row>0</xdr:row>
      <xdr:rowOff>50800</xdr:rowOff>
    </xdr:from>
    <xdr:to>
      <xdr:col>9</xdr:col>
      <xdr:colOff>482600</xdr:colOff>
      <xdr:row>0</xdr:row>
      <xdr:rowOff>541818</xdr:rowOff>
    </xdr:to>
    <xdr:pic>
      <xdr:nvPicPr>
        <xdr:cNvPr id="17" name="圖片 16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63800" y="50800"/>
          <a:ext cx="5257800" cy="491018"/>
        </a:xfrm>
        <a:prstGeom prst="rect">
          <a:avLst/>
        </a:prstGeom>
      </xdr:spPr>
    </xdr:pic>
    <xdr:clientData/>
  </xdr:twoCellAnchor>
  <xdr:twoCellAnchor>
    <xdr:from>
      <xdr:col>7</xdr:col>
      <xdr:colOff>555625</xdr:colOff>
      <xdr:row>13</xdr:row>
      <xdr:rowOff>152400</xdr:rowOff>
    </xdr:from>
    <xdr:to>
      <xdr:col>7</xdr:col>
      <xdr:colOff>555625</xdr:colOff>
      <xdr:row>13</xdr:row>
      <xdr:rowOff>152400</xdr:rowOff>
    </xdr:to>
    <xdr:cxnSp macro="">
      <xdr:nvCxnSpPr>
        <xdr:cNvPr id="2" name="直線接點 1"/>
        <xdr:cNvCxnSpPr/>
      </xdr:nvCxnSpPr>
      <xdr:spPr bwMode="auto">
        <a:xfrm>
          <a:off x="6985000" y="3810000"/>
          <a:ext cx="0" cy="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7</xdr:col>
      <xdr:colOff>555625</xdr:colOff>
      <xdr:row>13</xdr:row>
      <xdr:rowOff>152400</xdr:rowOff>
    </xdr:from>
    <xdr:to>
      <xdr:col>7</xdr:col>
      <xdr:colOff>555625</xdr:colOff>
      <xdr:row>13</xdr:row>
      <xdr:rowOff>152400</xdr:rowOff>
    </xdr:to>
    <xdr:cxnSp macro="">
      <xdr:nvCxnSpPr>
        <xdr:cNvPr id="3" name="直線接點 2"/>
        <xdr:cNvCxnSpPr/>
      </xdr:nvCxnSpPr>
      <xdr:spPr bwMode="auto">
        <a:xfrm>
          <a:off x="6985000" y="3810000"/>
          <a:ext cx="0" cy="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7</xdr:col>
      <xdr:colOff>160655</xdr:colOff>
      <xdr:row>18</xdr:row>
      <xdr:rowOff>137795</xdr:rowOff>
    </xdr:from>
    <xdr:to>
      <xdr:col>7</xdr:col>
      <xdr:colOff>363855</xdr:colOff>
      <xdr:row>18</xdr:row>
      <xdr:rowOff>146685</xdr:rowOff>
    </xdr:to>
    <xdr:sp macro="" textlink="">
      <xdr:nvSpPr>
        <xdr:cNvPr id="4" name="矩形 3"/>
        <xdr:cNvSpPr/>
      </xdr:nvSpPr>
      <xdr:spPr bwMode="auto">
        <a:xfrm>
          <a:off x="6590030" y="4938395"/>
          <a:ext cx="203200" cy="889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15"/>
        </a:solidFill>
        <a:ln w="38100" cap="flat" cmpd="sng" algn="ctr">
          <a:solidFill>
            <a:srgbClr xmlns:mc="http://schemas.openxmlformats.org/markup-compatibility/2006" xmlns:a14="http://schemas.microsoft.com/office/drawing/2010/main" val="00FFFF" mc:Ignorable="a14" a14:legacySpreadsheetColorIndex="15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zh-TW" altLang="en-US" sz="1100"/>
        </a:p>
      </xdr:txBody>
    </xdr:sp>
    <xdr:clientData/>
  </xdr:twoCellAnchor>
  <xdr:twoCellAnchor>
    <xdr:from>
      <xdr:col>5</xdr:col>
      <xdr:colOff>15875</xdr:colOff>
      <xdr:row>3</xdr:row>
      <xdr:rowOff>114300</xdr:rowOff>
    </xdr:from>
    <xdr:to>
      <xdr:col>7</xdr:col>
      <xdr:colOff>262255</xdr:colOff>
      <xdr:row>18</xdr:row>
      <xdr:rowOff>142240</xdr:rowOff>
    </xdr:to>
    <xdr:cxnSp macro="">
      <xdr:nvCxnSpPr>
        <xdr:cNvPr id="5" name="直線接點 4"/>
        <xdr:cNvCxnSpPr/>
      </xdr:nvCxnSpPr>
      <xdr:spPr bwMode="auto">
        <a:xfrm>
          <a:off x="4445000" y="1485900"/>
          <a:ext cx="2246630" cy="3456940"/>
        </a:xfrm>
        <a:prstGeom prst="line">
          <a:avLst/>
        </a:prstGeom>
        <a:solidFill>
          <a:srgbClr val="FFFFFF"/>
        </a:solidFill>
        <a:ln w="3175" cap="rnd" cmpd="sng" algn="ctr">
          <a:solidFill>
            <a:srgbClr xmlns:mc="http://schemas.openxmlformats.org/markup-compatibility/2006" xmlns:a14="http://schemas.microsoft.com/office/drawing/2010/main" val="00FF00" mc:Ignorable="a14" a14:legacySpreadsheetColorIndex="3"/>
          </a:solidFill>
          <a:prstDash val="dot"/>
          <a:round/>
          <a:headEnd type="oval" w="med" len="med"/>
          <a:tailEnd type="oval" w="med" len="med"/>
        </a:ln>
        <a:effectLst/>
      </xdr:spPr>
    </xdr:cxnSp>
    <xdr:clientData/>
  </xdr:twoCellAnchor>
  <xdr:twoCellAnchor>
    <xdr:from>
      <xdr:col>7</xdr:col>
      <xdr:colOff>365125</xdr:colOff>
      <xdr:row>18</xdr:row>
      <xdr:rowOff>137795</xdr:rowOff>
    </xdr:from>
    <xdr:to>
      <xdr:col>7</xdr:col>
      <xdr:colOff>746125</xdr:colOff>
      <xdr:row>18</xdr:row>
      <xdr:rowOff>146685</xdr:rowOff>
    </xdr:to>
    <xdr:sp macro="" textlink="">
      <xdr:nvSpPr>
        <xdr:cNvPr id="6" name="矩形 5"/>
        <xdr:cNvSpPr/>
      </xdr:nvSpPr>
      <xdr:spPr bwMode="auto">
        <a:xfrm>
          <a:off x="6794500" y="4938395"/>
          <a:ext cx="381000" cy="889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0000FF" mc:Ignorable="a14" a14:legacySpreadsheetColorIndex="12"/>
        </a:solidFill>
        <a:ln w="38100" cap="flat" cmpd="sng" algn="ctr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zh-TW" altLang="en-US" sz="1100"/>
        </a:p>
      </xdr:txBody>
    </xdr:sp>
    <xdr:clientData/>
  </xdr:twoCellAnchor>
  <xdr:twoCellAnchor>
    <xdr:from>
      <xdr:col>5</xdr:col>
      <xdr:colOff>15875</xdr:colOff>
      <xdr:row>4</xdr:row>
      <xdr:rowOff>114300</xdr:rowOff>
    </xdr:from>
    <xdr:to>
      <xdr:col>7</xdr:col>
      <xdr:colOff>555625</xdr:colOff>
      <xdr:row>18</xdr:row>
      <xdr:rowOff>142240</xdr:rowOff>
    </xdr:to>
    <xdr:cxnSp macro="">
      <xdr:nvCxnSpPr>
        <xdr:cNvPr id="7" name="直線接點 6"/>
        <xdr:cNvCxnSpPr/>
      </xdr:nvCxnSpPr>
      <xdr:spPr bwMode="auto">
        <a:xfrm>
          <a:off x="4445000" y="1714500"/>
          <a:ext cx="2540000" cy="3228340"/>
        </a:xfrm>
        <a:prstGeom prst="line">
          <a:avLst/>
        </a:prstGeom>
        <a:solidFill>
          <a:srgbClr val="FFFFFF"/>
        </a:solidFill>
        <a:ln w="3175" cap="rnd" cmpd="sng" algn="ctr">
          <a:solidFill>
            <a:srgbClr xmlns:mc="http://schemas.openxmlformats.org/markup-compatibility/2006" xmlns:a14="http://schemas.microsoft.com/office/drawing/2010/main" val="00FF00" mc:Ignorable="a14" a14:legacySpreadsheetColorIndex="3"/>
          </a:solidFill>
          <a:prstDash val="dot"/>
          <a:round/>
          <a:headEnd type="oval" w="med" len="med"/>
          <a:tailEnd type="oval" w="med" len="med"/>
        </a:ln>
        <a:effectLst/>
      </xdr:spPr>
    </xdr:cxnSp>
    <xdr:clientData/>
  </xdr:twoCellAnchor>
  <xdr:twoCellAnchor>
    <xdr:from>
      <xdr:col>7</xdr:col>
      <xdr:colOff>922338</xdr:colOff>
      <xdr:row>18</xdr:row>
      <xdr:rowOff>137795</xdr:rowOff>
    </xdr:from>
    <xdr:to>
      <xdr:col>7</xdr:col>
      <xdr:colOff>931228</xdr:colOff>
      <xdr:row>20</xdr:row>
      <xdr:rowOff>61595</xdr:rowOff>
    </xdr:to>
    <xdr:sp macro="" textlink="">
      <xdr:nvSpPr>
        <xdr:cNvPr id="8" name="矩形 7"/>
        <xdr:cNvSpPr/>
      </xdr:nvSpPr>
      <xdr:spPr bwMode="auto">
        <a:xfrm>
          <a:off x="7351713" y="4938395"/>
          <a:ext cx="8890" cy="3810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0000FF" mc:Ignorable="a14" a14:legacySpreadsheetColorIndex="12"/>
        </a:solidFill>
        <a:ln w="38100" cap="flat" cmpd="sng" algn="ctr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zh-TW" altLang="en-US" sz="1100"/>
        </a:p>
      </xdr:txBody>
    </xdr:sp>
    <xdr:clientData/>
  </xdr:twoCellAnchor>
  <xdr:twoCellAnchor>
    <xdr:from>
      <xdr:col>5</xdr:col>
      <xdr:colOff>15875</xdr:colOff>
      <xdr:row>5</xdr:row>
      <xdr:rowOff>114300</xdr:rowOff>
    </xdr:from>
    <xdr:to>
      <xdr:col>7</xdr:col>
      <xdr:colOff>926782</xdr:colOff>
      <xdr:row>19</xdr:row>
      <xdr:rowOff>99695</xdr:rowOff>
    </xdr:to>
    <xdr:cxnSp macro="">
      <xdr:nvCxnSpPr>
        <xdr:cNvPr id="9" name="直線接點 8"/>
        <xdr:cNvCxnSpPr/>
      </xdr:nvCxnSpPr>
      <xdr:spPr bwMode="auto">
        <a:xfrm>
          <a:off x="4445000" y="1943100"/>
          <a:ext cx="2911157" cy="3185795"/>
        </a:xfrm>
        <a:prstGeom prst="line">
          <a:avLst/>
        </a:prstGeom>
        <a:solidFill>
          <a:srgbClr val="FFFFFF"/>
        </a:solidFill>
        <a:ln w="3175" cap="rnd" cmpd="sng" algn="ctr">
          <a:solidFill>
            <a:srgbClr xmlns:mc="http://schemas.openxmlformats.org/markup-compatibility/2006" xmlns:a14="http://schemas.microsoft.com/office/drawing/2010/main" val="00FF00" mc:Ignorable="a14" a14:legacySpreadsheetColorIndex="3"/>
          </a:solidFill>
          <a:prstDash val="dot"/>
          <a:round/>
          <a:headEnd type="oval" w="med" len="med"/>
          <a:tailEnd type="oval" w="med" len="med"/>
        </a:ln>
        <a:effectLst/>
      </xdr:spPr>
    </xdr:cxnSp>
    <xdr:clientData/>
  </xdr:twoCellAnchor>
  <xdr:twoCellAnchor>
    <xdr:from>
      <xdr:col>7</xdr:col>
      <xdr:colOff>932497</xdr:colOff>
      <xdr:row>18</xdr:row>
      <xdr:rowOff>137795</xdr:rowOff>
    </xdr:from>
    <xdr:to>
      <xdr:col>7</xdr:col>
      <xdr:colOff>941388</xdr:colOff>
      <xdr:row>20</xdr:row>
      <xdr:rowOff>188595</xdr:rowOff>
    </xdr:to>
    <xdr:sp macro="" textlink="">
      <xdr:nvSpPr>
        <xdr:cNvPr id="10" name="矩形 9"/>
        <xdr:cNvSpPr/>
      </xdr:nvSpPr>
      <xdr:spPr bwMode="auto">
        <a:xfrm>
          <a:off x="7361872" y="4938395"/>
          <a:ext cx="8891" cy="5080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6600" mc:Ignorable="a14" a14:legacySpreadsheetColorIndex="53"/>
        </a:solidFill>
        <a:ln w="38100" cap="flat" cmpd="sng" algn="ctr">
          <a:solidFill>
            <a:srgbClr xmlns:mc="http://schemas.openxmlformats.org/markup-compatibility/2006" xmlns:a14="http://schemas.microsoft.com/office/drawing/2010/main" val="FF6600" mc:Ignorable="a14" a14:legacySpreadsheetColorIndex="53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zh-TW" altLang="en-US" sz="1100"/>
        </a:p>
      </xdr:txBody>
    </xdr:sp>
    <xdr:clientData/>
  </xdr:twoCellAnchor>
  <xdr:twoCellAnchor>
    <xdr:from>
      <xdr:col>5</xdr:col>
      <xdr:colOff>15875</xdr:colOff>
      <xdr:row>6</xdr:row>
      <xdr:rowOff>114300</xdr:rowOff>
    </xdr:from>
    <xdr:to>
      <xdr:col>7</xdr:col>
      <xdr:colOff>936943</xdr:colOff>
      <xdr:row>19</xdr:row>
      <xdr:rowOff>163195</xdr:rowOff>
    </xdr:to>
    <xdr:cxnSp macro="">
      <xdr:nvCxnSpPr>
        <xdr:cNvPr id="11" name="直線接點 10"/>
        <xdr:cNvCxnSpPr/>
      </xdr:nvCxnSpPr>
      <xdr:spPr bwMode="auto">
        <a:xfrm>
          <a:off x="4445000" y="2171700"/>
          <a:ext cx="2921318" cy="3020695"/>
        </a:xfrm>
        <a:prstGeom prst="line">
          <a:avLst/>
        </a:prstGeom>
        <a:solidFill>
          <a:srgbClr val="FFFFFF"/>
        </a:solidFill>
        <a:ln w="3175" cap="rnd" cmpd="sng" algn="ctr">
          <a:solidFill>
            <a:srgbClr xmlns:mc="http://schemas.openxmlformats.org/markup-compatibility/2006" xmlns:a14="http://schemas.microsoft.com/office/drawing/2010/main" val="00FF00" mc:Ignorable="a14" a14:legacySpreadsheetColorIndex="3"/>
          </a:solidFill>
          <a:prstDash val="dot"/>
          <a:round/>
          <a:headEnd type="oval" w="med" len="med"/>
          <a:tailEnd type="oval" w="med" len="med"/>
        </a:ln>
        <a:effectLst/>
      </xdr:spPr>
    </xdr:cxnSp>
    <xdr:clientData/>
  </xdr:twoCellAnchor>
  <xdr:twoCellAnchor>
    <xdr:from>
      <xdr:col>7</xdr:col>
      <xdr:colOff>301625</xdr:colOff>
      <xdr:row>18</xdr:row>
      <xdr:rowOff>147955</xdr:rowOff>
    </xdr:from>
    <xdr:to>
      <xdr:col>7</xdr:col>
      <xdr:colOff>809625</xdr:colOff>
      <xdr:row>18</xdr:row>
      <xdr:rowOff>156845</xdr:rowOff>
    </xdr:to>
    <xdr:sp macro="" textlink="">
      <xdr:nvSpPr>
        <xdr:cNvPr id="12" name="矩形 11"/>
        <xdr:cNvSpPr/>
      </xdr:nvSpPr>
      <xdr:spPr bwMode="auto">
        <a:xfrm>
          <a:off x="6731000" y="4948555"/>
          <a:ext cx="508000" cy="889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6600" mc:Ignorable="a14" a14:legacySpreadsheetColorIndex="53"/>
        </a:solidFill>
        <a:ln w="38100" cap="flat" cmpd="sng" algn="ctr">
          <a:solidFill>
            <a:srgbClr xmlns:mc="http://schemas.openxmlformats.org/markup-compatibility/2006" xmlns:a14="http://schemas.microsoft.com/office/drawing/2010/main" val="FF6600" mc:Ignorable="a14" a14:legacySpreadsheetColorIndex="53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zh-TW" altLang="en-US" sz="1100"/>
        </a:p>
      </xdr:txBody>
    </xdr:sp>
    <xdr:clientData/>
  </xdr:twoCellAnchor>
  <xdr:twoCellAnchor>
    <xdr:from>
      <xdr:col>5</xdr:col>
      <xdr:colOff>15875</xdr:colOff>
      <xdr:row>7</xdr:row>
      <xdr:rowOff>114300</xdr:rowOff>
    </xdr:from>
    <xdr:to>
      <xdr:col>7</xdr:col>
      <xdr:colOff>555625</xdr:colOff>
      <xdr:row>18</xdr:row>
      <xdr:rowOff>152400</xdr:rowOff>
    </xdr:to>
    <xdr:cxnSp macro="">
      <xdr:nvCxnSpPr>
        <xdr:cNvPr id="13" name="直線接點 12"/>
        <xdr:cNvCxnSpPr/>
      </xdr:nvCxnSpPr>
      <xdr:spPr bwMode="auto">
        <a:xfrm>
          <a:off x="4445000" y="2400300"/>
          <a:ext cx="2540000" cy="2552700"/>
        </a:xfrm>
        <a:prstGeom prst="line">
          <a:avLst/>
        </a:prstGeom>
        <a:solidFill>
          <a:srgbClr val="FFFFFF"/>
        </a:solidFill>
        <a:ln w="3175" cap="rnd" cmpd="sng" algn="ctr">
          <a:solidFill>
            <a:srgbClr xmlns:mc="http://schemas.openxmlformats.org/markup-compatibility/2006" xmlns:a14="http://schemas.microsoft.com/office/drawing/2010/main" val="00FF00" mc:Ignorable="a14" a14:legacySpreadsheetColorIndex="3"/>
          </a:solidFill>
          <a:prstDash val="dot"/>
          <a:round/>
          <a:headEnd type="oval" w="med" len="med"/>
          <a:tailEnd type="oval" w="med" len="med"/>
        </a:ln>
        <a:effectLst/>
      </xdr:spPr>
    </xdr:cxnSp>
    <xdr:clientData/>
  </xdr:twoCellAnchor>
  <xdr:twoCellAnchor>
    <xdr:from>
      <xdr:col>7</xdr:col>
      <xdr:colOff>301625</xdr:colOff>
      <xdr:row>18</xdr:row>
      <xdr:rowOff>168910</xdr:rowOff>
    </xdr:from>
    <xdr:to>
      <xdr:col>7</xdr:col>
      <xdr:colOff>809625</xdr:colOff>
      <xdr:row>18</xdr:row>
      <xdr:rowOff>177800</xdr:rowOff>
    </xdr:to>
    <xdr:sp macro="" textlink="">
      <xdr:nvSpPr>
        <xdr:cNvPr id="14" name="矩形 13"/>
        <xdr:cNvSpPr/>
      </xdr:nvSpPr>
      <xdr:spPr bwMode="auto">
        <a:xfrm>
          <a:off x="6731000" y="4969510"/>
          <a:ext cx="508000" cy="889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6600" mc:Ignorable="a14" a14:legacySpreadsheetColorIndex="53"/>
        </a:solidFill>
        <a:ln w="38100" cap="flat" cmpd="sng" algn="ctr">
          <a:solidFill>
            <a:srgbClr xmlns:mc="http://schemas.openxmlformats.org/markup-compatibility/2006" xmlns:a14="http://schemas.microsoft.com/office/drawing/2010/main" val="FF6600" mc:Ignorable="a14" a14:legacySpreadsheetColorIndex="53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zh-TW" altLang="en-US" sz="1100"/>
        </a:p>
      </xdr:txBody>
    </xdr:sp>
    <xdr:clientData/>
  </xdr:twoCellAnchor>
  <xdr:twoCellAnchor>
    <xdr:from>
      <xdr:col>5</xdr:col>
      <xdr:colOff>15875</xdr:colOff>
      <xdr:row>8</xdr:row>
      <xdr:rowOff>114300</xdr:rowOff>
    </xdr:from>
    <xdr:to>
      <xdr:col>7</xdr:col>
      <xdr:colOff>555625</xdr:colOff>
      <xdr:row>18</xdr:row>
      <xdr:rowOff>173355</xdr:rowOff>
    </xdr:to>
    <xdr:cxnSp macro="">
      <xdr:nvCxnSpPr>
        <xdr:cNvPr id="15" name="直線接點 14"/>
        <xdr:cNvCxnSpPr/>
      </xdr:nvCxnSpPr>
      <xdr:spPr bwMode="auto">
        <a:xfrm>
          <a:off x="4445000" y="2628900"/>
          <a:ext cx="2540000" cy="2345055"/>
        </a:xfrm>
        <a:prstGeom prst="line">
          <a:avLst/>
        </a:prstGeom>
        <a:solidFill>
          <a:srgbClr val="FFFFFF"/>
        </a:solidFill>
        <a:ln w="3175" cap="rnd" cmpd="sng" algn="ctr">
          <a:solidFill>
            <a:srgbClr xmlns:mc="http://schemas.openxmlformats.org/markup-compatibility/2006" xmlns:a14="http://schemas.microsoft.com/office/drawing/2010/main" val="00FF00" mc:Ignorable="a14" a14:legacySpreadsheetColorIndex="3"/>
          </a:solidFill>
          <a:prstDash val="dot"/>
          <a:round/>
          <a:headEnd type="oval" w="med" len="med"/>
          <a:tailEnd type="oval" w="med" len="med"/>
        </a:ln>
        <a:effectLst/>
      </xdr:spPr>
    </xdr:cxnSp>
    <xdr:clientData/>
  </xdr:twoCellAnchor>
  <xdr:twoCellAnchor>
    <xdr:from>
      <xdr:col>7</xdr:col>
      <xdr:colOff>953453</xdr:colOff>
      <xdr:row>18</xdr:row>
      <xdr:rowOff>137795</xdr:rowOff>
    </xdr:from>
    <xdr:to>
      <xdr:col>7</xdr:col>
      <xdr:colOff>962343</xdr:colOff>
      <xdr:row>20</xdr:row>
      <xdr:rowOff>188595</xdr:rowOff>
    </xdr:to>
    <xdr:sp macro="" textlink="">
      <xdr:nvSpPr>
        <xdr:cNvPr id="16" name="矩形 15"/>
        <xdr:cNvSpPr/>
      </xdr:nvSpPr>
      <xdr:spPr bwMode="auto">
        <a:xfrm>
          <a:off x="7382828" y="4938395"/>
          <a:ext cx="8890" cy="5080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6600" mc:Ignorable="a14" a14:legacySpreadsheetColorIndex="53"/>
        </a:solidFill>
        <a:ln w="38100" cap="flat" cmpd="sng" algn="ctr">
          <a:solidFill>
            <a:srgbClr xmlns:mc="http://schemas.openxmlformats.org/markup-compatibility/2006" xmlns:a14="http://schemas.microsoft.com/office/drawing/2010/main" val="FF6600" mc:Ignorable="a14" a14:legacySpreadsheetColorIndex="53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zh-TW" altLang="en-US" sz="1100"/>
        </a:p>
      </xdr:txBody>
    </xdr:sp>
    <xdr:clientData/>
  </xdr:twoCellAnchor>
  <xdr:twoCellAnchor>
    <xdr:from>
      <xdr:col>5</xdr:col>
      <xdr:colOff>15875</xdr:colOff>
      <xdr:row>9</xdr:row>
      <xdr:rowOff>114300</xdr:rowOff>
    </xdr:from>
    <xdr:to>
      <xdr:col>7</xdr:col>
      <xdr:colOff>957897</xdr:colOff>
      <xdr:row>19</xdr:row>
      <xdr:rowOff>163195</xdr:rowOff>
    </xdr:to>
    <xdr:cxnSp macro="">
      <xdr:nvCxnSpPr>
        <xdr:cNvPr id="18" name="直線接點 17"/>
        <xdr:cNvCxnSpPr/>
      </xdr:nvCxnSpPr>
      <xdr:spPr bwMode="auto">
        <a:xfrm>
          <a:off x="4445000" y="2857500"/>
          <a:ext cx="2942272" cy="2334895"/>
        </a:xfrm>
        <a:prstGeom prst="line">
          <a:avLst/>
        </a:prstGeom>
        <a:solidFill>
          <a:srgbClr val="FFFFFF"/>
        </a:solidFill>
        <a:ln w="3175" cap="rnd" cmpd="sng" algn="ctr">
          <a:solidFill>
            <a:srgbClr xmlns:mc="http://schemas.openxmlformats.org/markup-compatibility/2006" xmlns:a14="http://schemas.microsoft.com/office/drawing/2010/main" val="00FF00" mc:Ignorable="a14" a14:legacySpreadsheetColorIndex="3"/>
          </a:solidFill>
          <a:prstDash val="dot"/>
          <a:round/>
          <a:headEnd type="oval" w="med" len="med"/>
          <a:tailEnd type="oval" w="med" len="med"/>
        </a:ln>
        <a:effectLst/>
      </xdr:spPr>
    </xdr:cxnSp>
    <xdr:clientData/>
  </xdr:twoCellAnchor>
  <xdr:twoCellAnchor>
    <xdr:from>
      <xdr:col>7</xdr:col>
      <xdr:colOff>301625</xdr:colOff>
      <xdr:row>18</xdr:row>
      <xdr:rowOff>158115</xdr:rowOff>
    </xdr:from>
    <xdr:to>
      <xdr:col>7</xdr:col>
      <xdr:colOff>809625</xdr:colOff>
      <xdr:row>18</xdr:row>
      <xdr:rowOff>167005</xdr:rowOff>
    </xdr:to>
    <xdr:sp macro="" textlink="">
      <xdr:nvSpPr>
        <xdr:cNvPr id="19" name="矩形 18"/>
        <xdr:cNvSpPr/>
      </xdr:nvSpPr>
      <xdr:spPr bwMode="auto">
        <a:xfrm>
          <a:off x="6731000" y="4958715"/>
          <a:ext cx="508000" cy="889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9CC00" mc:Ignorable="a14" a14:legacySpreadsheetColorIndex="50"/>
        </a:solidFill>
        <a:ln w="38100" cap="flat" cmpd="sng" algn="ctr">
          <a:solidFill>
            <a:srgbClr xmlns:mc="http://schemas.openxmlformats.org/markup-compatibility/2006" xmlns:a14="http://schemas.microsoft.com/office/drawing/2010/main" val="99CC00" mc:Ignorable="a14" a14:legacySpreadsheetColorIndex="5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zh-TW" altLang="en-US" sz="1100"/>
        </a:p>
      </xdr:txBody>
    </xdr:sp>
    <xdr:clientData/>
  </xdr:twoCellAnchor>
  <xdr:twoCellAnchor>
    <xdr:from>
      <xdr:col>5</xdr:col>
      <xdr:colOff>15875</xdr:colOff>
      <xdr:row>10</xdr:row>
      <xdr:rowOff>114300</xdr:rowOff>
    </xdr:from>
    <xdr:to>
      <xdr:col>7</xdr:col>
      <xdr:colOff>555625</xdr:colOff>
      <xdr:row>18</xdr:row>
      <xdr:rowOff>162560</xdr:rowOff>
    </xdr:to>
    <xdr:cxnSp macro="">
      <xdr:nvCxnSpPr>
        <xdr:cNvPr id="20" name="直線接點 19"/>
        <xdr:cNvCxnSpPr/>
      </xdr:nvCxnSpPr>
      <xdr:spPr bwMode="auto">
        <a:xfrm>
          <a:off x="4445000" y="3086100"/>
          <a:ext cx="2540000" cy="1877060"/>
        </a:xfrm>
        <a:prstGeom prst="line">
          <a:avLst/>
        </a:prstGeom>
        <a:solidFill>
          <a:srgbClr val="FFFFFF"/>
        </a:solidFill>
        <a:ln w="3175" cap="rnd" cmpd="sng" algn="ctr">
          <a:solidFill>
            <a:srgbClr xmlns:mc="http://schemas.openxmlformats.org/markup-compatibility/2006" xmlns:a14="http://schemas.microsoft.com/office/drawing/2010/main" val="00FF00" mc:Ignorable="a14" a14:legacySpreadsheetColorIndex="3"/>
          </a:solidFill>
          <a:prstDash val="dot"/>
          <a:round/>
          <a:headEnd type="oval" w="med" len="med"/>
          <a:tailEnd type="oval" w="med" len="med"/>
        </a:ln>
        <a:effectLst/>
      </xdr:spPr>
    </xdr:cxnSp>
    <xdr:clientData/>
  </xdr:twoCellAnchor>
  <xdr:twoCellAnchor>
    <xdr:from>
      <xdr:col>7</xdr:col>
      <xdr:colOff>942657</xdr:colOff>
      <xdr:row>18</xdr:row>
      <xdr:rowOff>137795</xdr:rowOff>
    </xdr:from>
    <xdr:to>
      <xdr:col>7</xdr:col>
      <xdr:colOff>951547</xdr:colOff>
      <xdr:row>20</xdr:row>
      <xdr:rowOff>188595</xdr:rowOff>
    </xdr:to>
    <xdr:sp macro="" textlink="">
      <xdr:nvSpPr>
        <xdr:cNvPr id="21" name="矩形 20"/>
        <xdr:cNvSpPr/>
      </xdr:nvSpPr>
      <xdr:spPr bwMode="auto">
        <a:xfrm>
          <a:off x="7372032" y="4938395"/>
          <a:ext cx="8890" cy="5080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9CC00" mc:Ignorable="a14" a14:legacySpreadsheetColorIndex="50"/>
        </a:solidFill>
        <a:ln w="38100" cap="flat" cmpd="sng" algn="ctr">
          <a:solidFill>
            <a:srgbClr xmlns:mc="http://schemas.openxmlformats.org/markup-compatibility/2006" xmlns:a14="http://schemas.microsoft.com/office/drawing/2010/main" val="99CC00" mc:Ignorable="a14" a14:legacySpreadsheetColorIndex="5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zh-TW" altLang="en-US" sz="1100"/>
        </a:p>
      </xdr:txBody>
    </xdr:sp>
    <xdr:clientData/>
  </xdr:twoCellAnchor>
  <xdr:twoCellAnchor>
    <xdr:from>
      <xdr:col>5</xdr:col>
      <xdr:colOff>15875</xdr:colOff>
      <xdr:row>11</xdr:row>
      <xdr:rowOff>114300</xdr:rowOff>
    </xdr:from>
    <xdr:to>
      <xdr:col>7</xdr:col>
      <xdr:colOff>947103</xdr:colOff>
      <xdr:row>19</xdr:row>
      <xdr:rowOff>163195</xdr:rowOff>
    </xdr:to>
    <xdr:cxnSp macro="">
      <xdr:nvCxnSpPr>
        <xdr:cNvPr id="22" name="直線接點 21"/>
        <xdr:cNvCxnSpPr/>
      </xdr:nvCxnSpPr>
      <xdr:spPr bwMode="auto">
        <a:xfrm>
          <a:off x="4445000" y="3314700"/>
          <a:ext cx="2931478" cy="1877695"/>
        </a:xfrm>
        <a:prstGeom prst="line">
          <a:avLst/>
        </a:prstGeom>
        <a:solidFill>
          <a:srgbClr val="FFFFFF"/>
        </a:solidFill>
        <a:ln w="3175" cap="rnd" cmpd="sng" algn="ctr">
          <a:solidFill>
            <a:srgbClr xmlns:mc="http://schemas.openxmlformats.org/markup-compatibility/2006" xmlns:a14="http://schemas.microsoft.com/office/drawing/2010/main" val="00FF00" mc:Ignorable="a14" a14:legacySpreadsheetColorIndex="3"/>
          </a:solidFill>
          <a:prstDash val="dot"/>
          <a:round/>
          <a:headEnd type="oval" w="med" len="med"/>
          <a:tailEnd type="oval" w="med" len="med"/>
        </a:ln>
        <a:effectLst/>
      </xdr:spPr>
    </xdr:cxnSp>
    <xdr:clientData/>
  </xdr:twoCellAnchor>
  <xdr:twoCellAnchor>
    <xdr:from>
      <xdr:col>9</xdr:col>
      <xdr:colOff>274003</xdr:colOff>
      <xdr:row>19</xdr:row>
      <xdr:rowOff>27622</xdr:rowOff>
    </xdr:from>
    <xdr:to>
      <xdr:col>9</xdr:col>
      <xdr:colOff>282893</xdr:colOff>
      <xdr:row>20</xdr:row>
      <xdr:rowOff>180022</xdr:rowOff>
    </xdr:to>
    <xdr:sp macro="" textlink="">
      <xdr:nvSpPr>
        <xdr:cNvPr id="23" name="矩形 22"/>
        <xdr:cNvSpPr/>
      </xdr:nvSpPr>
      <xdr:spPr bwMode="auto">
        <a:xfrm>
          <a:off x="8703628" y="5056822"/>
          <a:ext cx="8890" cy="3810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800080" mc:Ignorable="a14" a14:legacySpreadsheetColorIndex="20"/>
        </a:solidFill>
        <a:ln w="38100" cap="flat" cmpd="sng" algn="ctr">
          <a:solidFill>
            <a:srgbClr xmlns:mc="http://schemas.openxmlformats.org/markup-compatibility/2006" xmlns:a14="http://schemas.microsoft.com/office/drawing/2010/main" val="800080" mc:Ignorable="a14" a14:legacySpreadsheetColorIndex="2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zh-TW" altLang="en-US" sz="1100"/>
        </a:p>
      </xdr:txBody>
    </xdr:sp>
    <xdr:clientData/>
  </xdr:twoCellAnchor>
  <xdr:twoCellAnchor>
    <xdr:from>
      <xdr:col>5</xdr:col>
      <xdr:colOff>15875</xdr:colOff>
      <xdr:row>12</xdr:row>
      <xdr:rowOff>114300</xdr:rowOff>
    </xdr:from>
    <xdr:to>
      <xdr:col>9</xdr:col>
      <xdr:colOff>278447</xdr:colOff>
      <xdr:row>19</xdr:row>
      <xdr:rowOff>218122</xdr:rowOff>
    </xdr:to>
    <xdr:cxnSp macro="">
      <xdr:nvCxnSpPr>
        <xdr:cNvPr id="24" name="直線接點 23"/>
        <xdr:cNvCxnSpPr/>
      </xdr:nvCxnSpPr>
      <xdr:spPr bwMode="auto">
        <a:xfrm>
          <a:off x="4445000" y="3543300"/>
          <a:ext cx="4263072" cy="1704022"/>
        </a:xfrm>
        <a:prstGeom prst="line">
          <a:avLst/>
        </a:prstGeom>
        <a:solidFill>
          <a:srgbClr val="FFFFFF"/>
        </a:solidFill>
        <a:ln w="3175" cap="rnd" cmpd="sng" algn="ctr">
          <a:solidFill>
            <a:srgbClr xmlns:mc="http://schemas.openxmlformats.org/markup-compatibility/2006" xmlns:a14="http://schemas.microsoft.com/office/drawing/2010/main" val="00FF00" mc:Ignorable="a14" a14:legacySpreadsheetColorIndex="3"/>
          </a:solidFill>
          <a:prstDash val="dot"/>
          <a:round/>
          <a:headEnd type="oval" w="med" len="med"/>
          <a:tailEnd type="oval" w="med" len="med"/>
        </a:ln>
        <a:effectLst/>
      </xdr:spPr>
    </xdr:cxnSp>
    <xdr:clientData/>
  </xdr:twoCellAnchor>
  <xdr:twoCellAnchor>
    <xdr:from>
      <xdr:col>8</xdr:col>
      <xdr:colOff>521018</xdr:colOff>
      <xdr:row>6</xdr:row>
      <xdr:rowOff>164783</xdr:rowOff>
    </xdr:from>
    <xdr:to>
      <xdr:col>9</xdr:col>
      <xdr:colOff>282893</xdr:colOff>
      <xdr:row>6</xdr:row>
      <xdr:rowOff>173673</xdr:rowOff>
    </xdr:to>
    <xdr:sp macro="" textlink="">
      <xdr:nvSpPr>
        <xdr:cNvPr id="25" name="矩形 24"/>
        <xdr:cNvSpPr/>
      </xdr:nvSpPr>
      <xdr:spPr bwMode="auto">
        <a:xfrm>
          <a:off x="7950518" y="2222183"/>
          <a:ext cx="762000" cy="889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800080" mc:Ignorable="a14" a14:legacySpreadsheetColorIndex="20"/>
        </a:solidFill>
        <a:ln w="38100" cap="flat" cmpd="sng" algn="ctr">
          <a:solidFill>
            <a:srgbClr xmlns:mc="http://schemas.openxmlformats.org/markup-compatibility/2006" xmlns:a14="http://schemas.microsoft.com/office/drawing/2010/main" val="800080" mc:Ignorable="a14" a14:legacySpreadsheetColorIndex="2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zh-TW" altLang="en-US" sz="1100"/>
        </a:p>
      </xdr:txBody>
    </xdr:sp>
    <xdr:clientData/>
  </xdr:twoCellAnchor>
  <xdr:twoCellAnchor>
    <xdr:from>
      <xdr:col>5</xdr:col>
      <xdr:colOff>15875</xdr:colOff>
      <xdr:row>6</xdr:row>
      <xdr:rowOff>169227</xdr:rowOff>
    </xdr:from>
    <xdr:to>
      <xdr:col>8</xdr:col>
      <xdr:colOff>902018</xdr:colOff>
      <xdr:row>13</xdr:row>
      <xdr:rowOff>114300</xdr:rowOff>
    </xdr:to>
    <xdr:cxnSp macro="">
      <xdr:nvCxnSpPr>
        <xdr:cNvPr id="26" name="直線接點 25"/>
        <xdr:cNvCxnSpPr/>
      </xdr:nvCxnSpPr>
      <xdr:spPr bwMode="auto">
        <a:xfrm flipV="1">
          <a:off x="4445000" y="2226627"/>
          <a:ext cx="3886518" cy="1545273"/>
        </a:xfrm>
        <a:prstGeom prst="line">
          <a:avLst/>
        </a:prstGeom>
        <a:solidFill>
          <a:srgbClr val="FFFFFF"/>
        </a:solidFill>
        <a:ln w="3175" cap="rnd" cmpd="sng" algn="ctr">
          <a:solidFill>
            <a:srgbClr xmlns:mc="http://schemas.openxmlformats.org/markup-compatibility/2006" xmlns:a14="http://schemas.microsoft.com/office/drawing/2010/main" val="00FF00" mc:Ignorable="a14" a14:legacySpreadsheetColorIndex="3"/>
          </a:solidFill>
          <a:prstDash val="dot"/>
          <a:round/>
          <a:headEnd type="oval" w="med" len="med"/>
          <a:tailEnd type="oval" w="med" len="med"/>
        </a:ln>
        <a:effectLst/>
      </xdr:spPr>
    </xdr:cxnSp>
    <xdr:clientData/>
  </xdr:twoCellAnchor>
  <xdr:twoCellAnchor>
    <xdr:from>
      <xdr:col>5</xdr:col>
      <xdr:colOff>868204</xdr:colOff>
      <xdr:row>14</xdr:row>
      <xdr:rowOff>86995</xdr:rowOff>
    </xdr:from>
    <xdr:to>
      <xdr:col>5</xdr:col>
      <xdr:colOff>877094</xdr:colOff>
      <xdr:row>14</xdr:row>
      <xdr:rowOff>95885</xdr:rowOff>
    </xdr:to>
    <xdr:sp macro="" textlink="">
      <xdr:nvSpPr>
        <xdr:cNvPr id="27" name="矩形 26"/>
        <xdr:cNvSpPr/>
      </xdr:nvSpPr>
      <xdr:spPr bwMode="auto">
        <a:xfrm>
          <a:off x="5297329" y="3973195"/>
          <a:ext cx="8890" cy="889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FF" mc:Ignorable="a14" a14:legacySpreadsheetColorIndex="14"/>
        </a:solidFill>
        <a:ln w="38100" cap="flat" cmpd="sng" algn="ctr">
          <a:solidFill>
            <a:srgbClr xmlns:mc="http://schemas.openxmlformats.org/markup-compatibility/2006" xmlns:a14="http://schemas.microsoft.com/office/drawing/2010/main" val="FF00FF" mc:Ignorable="a14" a14:legacySpreadsheetColorIndex="1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zh-TW" altLang="en-US" sz="1100"/>
        </a:p>
      </xdr:txBody>
    </xdr:sp>
    <xdr:clientData/>
  </xdr:twoCellAnchor>
  <xdr:twoCellAnchor>
    <xdr:from>
      <xdr:col>5</xdr:col>
      <xdr:colOff>15875</xdr:colOff>
      <xdr:row>14</xdr:row>
      <xdr:rowOff>91440</xdr:rowOff>
    </xdr:from>
    <xdr:to>
      <xdr:col>5</xdr:col>
      <xdr:colOff>872649</xdr:colOff>
      <xdr:row>14</xdr:row>
      <xdr:rowOff>114300</xdr:rowOff>
    </xdr:to>
    <xdr:cxnSp macro="">
      <xdr:nvCxnSpPr>
        <xdr:cNvPr id="28" name="直線接點 27"/>
        <xdr:cNvCxnSpPr/>
      </xdr:nvCxnSpPr>
      <xdr:spPr bwMode="auto">
        <a:xfrm flipV="1">
          <a:off x="4445000" y="3977640"/>
          <a:ext cx="856774" cy="22860"/>
        </a:xfrm>
        <a:prstGeom prst="line">
          <a:avLst/>
        </a:prstGeom>
        <a:solidFill>
          <a:srgbClr val="FFFFFF"/>
        </a:solidFill>
        <a:ln w="3175" cap="rnd" cmpd="sng" algn="ctr">
          <a:solidFill>
            <a:srgbClr xmlns:mc="http://schemas.openxmlformats.org/markup-compatibility/2006" xmlns:a14="http://schemas.microsoft.com/office/drawing/2010/main" val="00FF00" mc:Ignorable="a14" a14:legacySpreadsheetColorIndex="3"/>
          </a:solidFill>
          <a:prstDash val="dot"/>
          <a:round/>
          <a:headEnd type="oval" w="med" len="med"/>
          <a:tailEnd type="oval" w="med" len="med"/>
        </a:ln>
        <a:effectLst/>
      </xdr:spPr>
    </xdr:cxnSp>
    <xdr:clientData/>
  </xdr:twoCellAnchor>
  <xdr:twoCellAnchor>
    <xdr:from>
      <xdr:col>5</xdr:col>
      <xdr:colOff>868204</xdr:colOff>
      <xdr:row>12</xdr:row>
      <xdr:rowOff>208915</xdr:rowOff>
    </xdr:from>
    <xdr:to>
      <xdr:col>5</xdr:col>
      <xdr:colOff>877094</xdr:colOff>
      <xdr:row>12</xdr:row>
      <xdr:rowOff>217805</xdr:rowOff>
    </xdr:to>
    <xdr:sp macro="" textlink="">
      <xdr:nvSpPr>
        <xdr:cNvPr id="29" name="矩形 28"/>
        <xdr:cNvSpPr/>
      </xdr:nvSpPr>
      <xdr:spPr bwMode="auto">
        <a:xfrm>
          <a:off x="5297329" y="3637915"/>
          <a:ext cx="8890" cy="889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FF" mc:Ignorable="a14" a14:legacySpreadsheetColorIndex="14"/>
        </a:solidFill>
        <a:ln w="38100" cap="flat" cmpd="sng" algn="ctr">
          <a:solidFill>
            <a:srgbClr xmlns:mc="http://schemas.openxmlformats.org/markup-compatibility/2006" xmlns:a14="http://schemas.microsoft.com/office/drawing/2010/main" val="FF00FF" mc:Ignorable="a14" a14:legacySpreadsheetColorIndex="1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zh-TW" altLang="en-US" sz="1100"/>
        </a:p>
      </xdr:txBody>
    </xdr:sp>
    <xdr:clientData/>
  </xdr:twoCellAnchor>
  <xdr:twoCellAnchor>
    <xdr:from>
      <xdr:col>5</xdr:col>
      <xdr:colOff>15875</xdr:colOff>
      <xdr:row>12</xdr:row>
      <xdr:rowOff>213360</xdr:rowOff>
    </xdr:from>
    <xdr:to>
      <xdr:col>5</xdr:col>
      <xdr:colOff>872649</xdr:colOff>
      <xdr:row>15</xdr:row>
      <xdr:rowOff>114300</xdr:rowOff>
    </xdr:to>
    <xdr:cxnSp macro="">
      <xdr:nvCxnSpPr>
        <xdr:cNvPr id="30" name="直線接點 29"/>
        <xdr:cNvCxnSpPr/>
      </xdr:nvCxnSpPr>
      <xdr:spPr bwMode="auto">
        <a:xfrm flipV="1">
          <a:off x="4445000" y="3642360"/>
          <a:ext cx="856774" cy="586740"/>
        </a:xfrm>
        <a:prstGeom prst="line">
          <a:avLst/>
        </a:prstGeom>
        <a:solidFill>
          <a:srgbClr val="FFFFFF"/>
        </a:solidFill>
        <a:ln w="3175" cap="rnd" cmpd="sng" algn="ctr">
          <a:solidFill>
            <a:srgbClr xmlns:mc="http://schemas.openxmlformats.org/markup-compatibility/2006" xmlns:a14="http://schemas.microsoft.com/office/drawing/2010/main" val="00FF00" mc:Ignorable="a14" a14:legacySpreadsheetColorIndex="3"/>
          </a:solidFill>
          <a:prstDash val="dot"/>
          <a:round/>
          <a:headEnd type="oval" w="med" len="med"/>
          <a:tailEnd type="oval" w="med" len="med"/>
        </a:ln>
        <a:effectLst/>
      </xdr:spPr>
    </xdr:cxnSp>
    <xdr:clientData/>
  </xdr:twoCellAnchor>
  <xdr:twoCellAnchor>
    <xdr:from>
      <xdr:col>8</xdr:col>
      <xdr:colOff>529431</xdr:colOff>
      <xdr:row>19</xdr:row>
      <xdr:rowOff>171450</xdr:rowOff>
    </xdr:from>
    <xdr:to>
      <xdr:col>8</xdr:col>
      <xdr:colOff>538321</xdr:colOff>
      <xdr:row>19</xdr:row>
      <xdr:rowOff>180340</xdr:rowOff>
    </xdr:to>
    <xdr:sp macro="" textlink="">
      <xdr:nvSpPr>
        <xdr:cNvPr id="31" name="矩形 30"/>
        <xdr:cNvSpPr/>
      </xdr:nvSpPr>
      <xdr:spPr bwMode="auto">
        <a:xfrm>
          <a:off x="7958931" y="5200650"/>
          <a:ext cx="8890" cy="889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FF" mc:Ignorable="a14" a14:legacySpreadsheetColorIndex="14"/>
        </a:solidFill>
        <a:ln w="38100" cap="flat" cmpd="sng" algn="ctr">
          <a:solidFill>
            <a:srgbClr xmlns:mc="http://schemas.openxmlformats.org/markup-compatibility/2006" xmlns:a14="http://schemas.microsoft.com/office/drawing/2010/main" val="FF00FF" mc:Ignorable="a14" a14:legacySpreadsheetColorIndex="1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zh-TW" altLang="en-US" sz="1100"/>
        </a:p>
      </xdr:txBody>
    </xdr:sp>
    <xdr:clientData/>
  </xdr:twoCellAnchor>
  <xdr:twoCellAnchor>
    <xdr:from>
      <xdr:col>5</xdr:col>
      <xdr:colOff>15875</xdr:colOff>
      <xdr:row>16</xdr:row>
      <xdr:rowOff>114300</xdr:rowOff>
    </xdr:from>
    <xdr:to>
      <xdr:col>8</xdr:col>
      <xdr:colOff>533876</xdr:colOff>
      <xdr:row>19</xdr:row>
      <xdr:rowOff>175895</xdr:rowOff>
    </xdr:to>
    <xdr:cxnSp macro="">
      <xdr:nvCxnSpPr>
        <xdr:cNvPr id="32" name="直線接點 31"/>
        <xdr:cNvCxnSpPr/>
      </xdr:nvCxnSpPr>
      <xdr:spPr bwMode="auto">
        <a:xfrm>
          <a:off x="4445000" y="4457700"/>
          <a:ext cx="3518376" cy="747395"/>
        </a:xfrm>
        <a:prstGeom prst="line">
          <a:avLst/>
        </a:prstGeom>
        <a:solidFill>
          <a:srgbClr val="FFFFFF"/>
        </a:solidFill>
        <a:ln w="3175" cap="rnd" cmpd="sng" algn="ctr">
          <a:solidFill>
            <a:srgbClr xmlns:mc="http://schemas.openxmlformats.org/markup-compatibility/2006" xmlns:a14="http://schemas.microsoft.com/office/drawing/2010/main" val="00FF00" mc:Ignorable="a14" a14:legacySpreadsheetColorIndex="3"/>
          </a:solidFill>
          <a:prstDash val="dot"/>
          <a:round/>
          <a:headEnd type="oval" w="med" len="med"/>
          <a:tailEnd type="oval" w="med" len="med"/>
        </a:ln>
        <a:effectLst/>
      </xdr:spPr>
    </xdr:cxnSp>
    <xdr:clientData/>
  </xdr:twoCellAnchor>
  <xdr:twoCellAnchor>
    <xdr:from>
      <xdr:col>5</xdr:col>
      <xdr:colOff>868204</xdr:colOff>
      <xdr:row>15</xdr:row>
      <xdr:rowOff>26035</xdr:rowOff>
    </xdr:from>
    <xdr:to>
      <xdr:col>5</xdr:col>
      <xdr:colOff>877094</xdr:colOff>
      <xdr:row>15</xdr:row>
      <xdr:rowOff>34925</xdr:rowOff>
    </xdr:to>
    <xdr:sp macro="" textlink="">
      <xdr:nvSpPr>
        <xdr:cNvPr id="33" name="矩形 32"/>
        <xdr:cNvSpPr/>
      </xdr:nvSpPr>
      <xdr:spPr bwMode="auto">
        <a:xfrm>
          <a:off x="5297329" y="4140835"/>
          <a:ext cx="8890" cy="889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FF" mc:Ignorable="a14" a14:legacySpreadsheetColorIndex="14"/>
        </a:solidFill>
        <a:ln w="38100" cap="flat" cmpd="sng" algn="ctr">
          <a:solidFill>
            <a:srgbClr xmlns:mc="http://schemas.openxmlformats.org/markup-compatibility/2006" xmlns:a14="http://schemas.microsoft.com/office/drawing/2010/main" val="FF00FF" mc:Ignorable="a14" a14:legacySpreadsheetColorIndex="1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zh-TW" altLang="en-US" sz="1100"/>
        </a:p>
      </xdr:txBody>
    </xdr:sp>
    <xdr:clientData/>
  </xdr:twoCellAnchor>
  <xdr:twoCellAnchor>
    <xdr:from>
      <xdr:col>5</xdr:col>
      <xdr:colOff>15875</xdr:colOff>
      <xdr:row>15</xdr:row>
      <xdr:rowOff>30480</xdr:rowOff>
    </xdr:from>
    <xdr:to>
      <xdr:col>5</xdr:col>
      <xdr:colOff>872649</xdr:colOff>
      <xdr:row>17</xdr:row>
      <xdr:rowOff>114300</xdr:rowOff>
    </xdr:to>
    <xdr:cxnSp macro="">
      <xdr:nvCxnSpPr>
        <xdr:cNvPr id="34" name="直線接點 33"/>
        <xdr:cNvCxnSpPr/>
      </xdr:nvCxnSpPr>
      <xdr:spPr bwMode="auto">
        <a:xfrm flipV="1">
          <a:off x="4445000" y="4145280"/>
          <a:ext cx="856774" cy="541020"/>
        </a:xfrm>
        <a:prstGeom prst="line">
          <a:avLst/>
        </a:prstGeom>
        <a:solidFill>
          <a:srgbClr val="FFFFFF"/>
        </a:solidFill>
        <a:ln w="3175" cap="rnd" cmpd="sng" algn="ctr">
          <a:solidFill>
            <a:srgbClr xmlns:mc="http://schemas.openxmlformats.org/markup-compatibility/2006" xmlns:a14="http://schemas.microsoft.com/office/drawing/2010/main" val="00FF00" mc:Ignorable="a14" a14:legacySpreadsheetColorIndex="3"/>
          </a:solidFill>
          <a:prstDash val="dot"/>
          <a:round/>
          <a:headEnd type="oval" w="med" len="med"/>
          <a:tailEnd type="oval" w="med" len="med"/>
        </a:ln>
        <a:effectLst/>
      </xdr:spPr>
    </xdr:cxnSp>
    <xdr:clientData/>
  </xdr:twoCellAnchor>
  <xdr:twoCellAnchor>
    <xdr:from>
      <xdr:col>5</xdr:col>
      <xdr:colOff>868204</xdr:colOff>
      <xdr:row>12</xdr:row>
      <xdr:rowOff>41275</xdr:rowOff>
    </xdr:from>
    <xdr:to>
      <xdr:col>5</xdr:col>
      <xdr:colOff>877094</xdr:colOff>
      <xdr:row>12</xdr:row>
      <xdr:rowOff>50165</xdr:rowOff>
    </xdr:to>
    <xdr:sp macro="" textlink="">
      <xdr:nvSpPr>
        <xdr:cNvPr id="35" name="矩形 34"/>
        <xdr:cNvSpPr/>
      </xdr:nvSpPr>
      <xdr:spPr bwMode="auto">
        <a:xfrm>
          <a:off x="5297329" y="3470275"/>
          <a:ext cx="8890" cy="889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FF" mc:Ignorable="a14" a14:legacySpreadsheetColorIndex="14"/>
        </a:solidFill>
        <a:ln w="38100" cap="flat" cmpd="sng" algn="ctr">
          <a:solidFill>
            <a:srgbClr xmlns:mc="http://schemas.openxmlformats.org/markup-compatibility/2006" xmlns:a14="http://schemas.microsoft.com/office/drawing/2010/main" val="FF00FF" mc:Ignorable="a14" a14:legacySpreadsheetColorIndex="1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zh-TW" altLang="en-US" sz="1100"/>
        </a:p>
      </xdr:txBody>
    </xdr:sp>
    <xdr:clientData/>
  </xdr:twoCellAnchor>
  <xdr:twoCellAnchor>
    <xdr:from>
      <xdr:col>5</xdr:col>
      <xdr:colOff>15875</xdr:colOff>
      <xdr:row>12</xdr:row>
      <xdr:rowOff>45720</xdr:rowOff>
    </xdr:from>
    <xdr:to>
      <xdr:col>5</xdr:col>
      <xdr:colOff>872649</xdr:colOff>
      <xdr:row>18</xdr:row>
      <xdr:rowOff>114300</xdr:rowOff>
    </xdr:to>
    <xdr:cxnSp macro="">
      <xdr:nvCxnSpPr>
        <xdr:cNvPr id="36" name="直線接點 35"/>
        <xdr:cNvCxnSpPr/>
      </xdr:nvCxnSpPr>
      <xdr:spPr bwMode="auto">
        <a:xfrm flipV="1">
          <a:off x="4445000" y="3474720"/>
          <a:ext cx="856774" cy="1440180"/>
        </a:xfrm>
        <a:prstGeom prst="line">
          <a:avLst/>
        </a:prstGeom>
        <a:solidFill>
          <a:srgbClr val="FFFFFF"/>
        </a:solidFill>
        <a:ln w="3175" cap="rnd" cmpd="sng" algn="ctr">
          <a:solidFill>
            <a:srgbClr xmlns:mc="http://schemas.openxmlformats.org/markup-compatibility/2006" xmlns:a14="http://schemas.microsoft.com/office/drawing/2010/main" val="00FF00" mc:Ignorable="a14" a14:legacySpreadsheetColorIndex="3"/>
          </a:solidFill>
          <a:prstDash val="dot"/>
          <a:round/>
          <a:headEnd type="oval" w="med" len="med"/>
          <a:tailEnd type="oval" w="med" len="med"/>
        </a:ln>
        <a:effectLst/>
      </xdr:spPr>
    </xdr:cxnSp>
    <xdr:clientData/>
  </xdr:twoCellAnchor>
  <xdr:twoCellAnchor>
    <xdr:from>
      <xdr:col>8</xdr:col>
      <xdr:colOff>427038</xdr:colOff>
      <xdr:row>6</xdr:row>
      <xdr:rowOff>228283</xdr:rowOff>
    </xdr:from>
    <xdr:to>
      <xdr:col>8</xdr:col>
      <xdr:colOff>435928</xdr:colOff>
      <xdr:row>7</xdr:row>
      <xdr:rowOff>8573</xdr:rowOff>
    </xdr:to>
    <xdr:sp macro="" textlink="">
      <xdr:nvSpPr>
        <xdr:cNvPr id="37" name="矩形 36"/>
        <xdr:cNvSpPr/>
      </xdr:nvSpPr>
      <xdr:spPr bwMode="auto">
        <a:xfrm>
          <a:off x="7856538" y="2285683"/>
          <a:ext cx="8890" cy="889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FF" mc:Ignorable="a14" a14:legacySpreadsheetColorIndex="14"/>
        </a:solidFill>
        <a:ln w="38100" cap="flat" cmpd="sng" algn="ctr">
          <a:solidFill>
            <a:srgbClr xmlns:mc="http://schemas.openxmlformats.org/markup-compatibility/2006" xmlns:a14="http://schemas.microsoft.com/office/drawing/2010/main" val="FF00FF" mc:Ignorable="a14" a14:legacySpreadsheetColorIndex="1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zh-TW" altLang="en-US" sz="1100"/>
        </a:p>
      </xdr:txBody>
    </xdr:sp>
    <xdr:clientData/>
  </xdr:twoCellAnchor>
  <xdr:twoCellAnchor>
    <xdr:from>
      <xdr:col>5</xdr:col>
      <xdr:colOff>15875</xdr:colOff>
      <xdr:row>7</xdr:row>
      <xdr:rowOff>4127</xdr:rowOff>
    </xdr:from>
    <xdr:to>
      <xdr:col>8</xdr:col>
      <xdr:colOff>431482</xdr:colOff>
      <xdr:row>19</xdr:row>
      <xdr:rowOff>114300</xdr:rowOff>
    </xdr:to>
    <xdr:cxnSp macro="">
      <xdr:nvCxnSpPr>
        <xdr:cNvPr id="38" name="直線接點 37"/>
        <xdr:cNvCxnSpPr/>
      </xdr:nvCxnSpPr>
      <xdr:spPr bwMode="auto">
        <a:xfrm flipV="1">
          <a:off x="4445000" y="2290127"/>
          <a:ext cx="3415982" cy="2853373"/>
        </a:xfrm>
        <a:prstGeom prst="line">
          <a:avLst/>
        </a:prstGeom>
        <a:solidFill>
          <a:srgbClr val="FFFFFF"/>
        </a:solidFill>
        <a:ln w="3175" cap="rnd" cmpd="sng" algn="ctr">
          <a:solidFill>
            <a:srgbClr xmlns:mc="http://schemas.openxmlformats.org/markup-compatibility/2006" xmlns:a14="http://schemas.microsoft.com/office/drawing/2010/main" val="00FF00" mc:Ignorable="a14" a14:legacySpreadsheetColorIndex="3"/>
          </a:solidFill>
          <a:prstDash val="dot"/>
          <a:round/>
          <a:headEnd type="oval" w="med" len="med"/>
          <a:tailEnd type="oval" w="med" len="med"/>
        </a:ln>
        <a:effectLst/>
      </xdr:spPr>
    </xdr:cxnSp>
    <xdr:clientData/>
  </xdr:twoCellAnchor>
  <xdr:twoCellAnchor>
    <xdr:from>
      <xdr:col>5</xdr:col>
      <xdr:colOff>868204</xdr:colOff>
      <xdr:row>15</xdr:row>
      <xdr:rowOff>193675</xdr:rowOff>
    </xdr:from>
    <xdr:to>
      <xdr:col>5</xdr:col>
      <xdr:colOff>877094</xdr:colOff>
      <xdr:row>15</xdr:row>
      <xdr:rowOff>202565</xdr:rowOff>
    </xdr:to>
    <xdr:sp macro="" textlink="">
      <xdr:nvSpPr>
        <xdr:cNvPr id="39" name="矩形 38"/>
        <xdr:cNvSpPr/>
      </xdr:nvSpPr>
      <xdr:spPr bwMode="auto">
        <a:xfrm>
          <a:off x="5297329" y="4308475"/>
          <a:ext cx="8890" cy="889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FF" mc:Ignorable="a14" a14:legacySpreadsheetColorIndex="14"/>
        </a:solidFill>
        <a:ln w="38100" cap="flat" cmpd="sng" algn="ctr">
          <a:solidFill>
            <a:srgbClr xmlns:mc="http://schemas.openxmlformats.org/markup-compatibility/2006" xmlns:a14="http://schemas.microsoft.com/office/drawing/2010/main" val="FF00FF" mc:Ignorable="a14" a14:legacySpreadsheetColorIndex="1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zh-TW" altLang="en-US" sz="1100"/>
        </a:p>
      </xdr:txBody>
    </xdr:sp>
    <xdr:clientData/>
  </xdr:twoCellAnchor>
  <xdr:twoCellAnchor>
    <xdr:from>
      <xdr:col>5</xdr:col>
      <xdr:colOff>15875</xdr:colOff>
      <xdr:row>15</xdr:row>
      <xdr:rowOff>198120</xdr:rowOff>
    </xdr:from>
    <xdr:to>
      <xdr:col>5</xdr:col>
      <xdr:colOff>872649</xdr:colOff>
      <xdr:row>20</xdr:row>
      <xdr:rowOff>114300</xdr:rowOff>
    </xdr:to>
    <xdr:cxnSp macro="">
      <xdr:nvCxnSpPr>
        <xdr:cNvPr id="40" name="直線接點 39"/>
        <xdr:cNvCxnSpPr/>
      </xdr:nvCxnSpPr>
      <xdr:spPr bwMode="auto">
        <a:xfrm flipV="1">
          <a:off x="4445000" y="4312920"/>
          <a:ext cx="856774" cy="1059180"/>
        </a:xfrm>
        <a:prstGeom prst="line">
          <a:avLst/>
        </a:prstGeom>
        <a:solidFill>
          <a:srgbClr val="FFFFFF"/>
        </a:solidFill>
        <a:ln w="3175" cap="rnd" cmpd="sng" algn="ctr">
          <a:solidFill>
            <a:srgbClr xmlns:mc="http://schemas.openxmlformats.org/markup-compatibility/2006" xmlns:a14="http://schemas.microsoft.com/office/drawing/2010/main" val="00FF00" mc:Ignorable="a14" a14:legacySpreadsheetColorIndex="3"/>
          </a:solidFill>
          <a:prstDash val="dot"/>
          <a:round/>
          <a:headEnd type="oval" w="med" len="med"/>
          <a:tailEnd type="oval" w="med" len="med"/>
        </a:ln>
        <a:effectLst/>
      </xdr:spPr>
    </xdr:cxnSp>
    <xdr:clientData/>
  </xdr:twoCellAnchor>
  <xdr:twoCellAnchor>
    <xdr:from>
      <xdr:col>7</xdr:col>
      <xdr:colOff>825500</xdr:colOff>
      <xdr:row>18</xdr:row>
      <xdr:rowOff>161925</xdr:rowOff>
    </xdr:from>
    <xdr:to>
      <xdr:col>7</xdr:col>
      <xdr:colOff>834390</xdr:colOff>
      <xdr:row>18</xdr:row>
      <xdr:rowOff>170815</xdr:rowOff>
    </xdr:to>
    <xdr:sp macro="" textlink="">
      <xdr:nvSpPr>
        <xdr:cNvPr id="41" name="矩形 40"/>
        <xdr:cNvSpPr/>
      </xdr:nvSpPr>
      <xdr:spPr bwMode="auto">
        <a:xfrm>
          <a:off x="7254875" y="4962525"/>
          <a:ext cx="8890" cy="889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FF" mc:Ignorable="a14" a14:legacySpreadsheetColorIndex="14"/>
        </a:solidFill>
        <a:ln w="38100" cap="flat" cmpd="sng" algn="ctr">
          <a:solidFill>
            <a:srgbClr xmlns:mc="http://schemas.openxmlformats.org/markup-compatibility/2006" xmlns:a14="http://schemas.microsoft.com/office/drawing/2010/main" val="FF00FF" mc:Ignorable="a14" a14:legacySpreadsheetColorIndex="1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zh-TW" altLang="en-US" sz="1100"/>
        </a:p>
      </xdr:txBody>
    </xdr:sp>
    <xdr:clientData/>
  </xdr:twoCellAnchor>
  <xdr:twoCellAnchor>
    <xdr:from>
      <xdr:col>5</xdr:col>
      <xdr:colOff>15875</xdr:colOff>
      <xdr:row>18</xdr:row>
      <xdr:rowOff>166370</xdr:rowOff>
    </xdr:from>
    <xdr:to>
      <xdr:col>7</xdr:col>
      <xdr:colOff>829945</xdr:colOff>
      <xdr:row>21</xdr:row>
      <xdr:rowOff>114300</xdr:rowOff>
    </xdr:to>
    <xdr:cxnSp macro="">
      <xdr:nvCxnSpPr>
        <xdr:cNvPr id="42" name="直線接點 41"/>
        <xdr:cNvCxnSpPr/>
      </xdr:nvCxnSpPr>
      <xdr:spPr bwMode="auto">
        <a:xfrm flipV="1">
          <a:off x="4445000" y="4966970"/>
          <a:ext cx="2814320" cy="633730"/>
        </a:xfrm>
        <a:prstGeom prst="line">
          <a:avLst/>
        </a:prstGeom>
        <a:solidFill>
          <a:srgbClr val="FFFFFF"/>
        </a:solidFill>
        <a:ln w="3175" cap="rnd" cmpd="sng" algn="ctr">
          <a:solidFill>
            <a:srgbClr xmlns:mc="http://schemas.openxmlformats.org/markup-compatibility/2006" xmlns:a14="http://schemas.microsoft.com/office/drawing/2010/main" val="00FF00" mc:Ignorable="a14" a14:legacySpreadsheetColorIndex="3"/>
          </a:solidFill>
          <a:prstDash val="dot"/>
          <a:round/>
          <a:headEnd type="oval" w="med" len="med"/>
          <a:tailEnd type="oval" w="med" len="med"/>
        </a:ln>
        <a:effectLst/>
      </xdr:spPr>
    </xdr:cxnSp>
    <xdr:clientData/>
  </xdr:twoCellAnchor>
  <xdr:twoCellAnchor>
    <xdr:from>
      <xdr:col>7</xdr:col>
      <xdr:colOff>267335</xdr:colOff>
      <xdr:row>18</xdr:row>
      <xdr:rowOff>162560</xdr:rowOff>
    </xdr:from>
    <xdr:to>
      <xdr:col>7</xdr:col>
      <xdr:colOff>276225</xdr:colOff>
      <xdr:row>18</xdr:row>
      <xdr:rowOff>171450</xdr:rowOff>
    </xdr:to>
    <xdr:sp macro="" textlink="">
      <xdr:nvSpPr>
        <xdr:cNvPr id="43" name="矩形 42"/>
        <xdr:cNvSpPr/>
      </xdr:nvSpPr>
      <xdr:spPr bwMode="auto">
        <a:xfrm>
          <a:off x="6696710" y="4963160"/>
          <a:ext cx="8890" cy="889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FF" mc:Ignorable="a14" a14:legacySpreadsheetColorIndex="14"/>
        </a:solidFill>
        <a:ln w="38100" cap="flat" cmpd="sng" algn="ctr">
          <a:solidFill>
            <a:srgbClr xmlns:mc="http://schemas.openxmlformats.org/markup-compatibility/2006" xmlns:a14="http://schemas.microsoft.com/office/drawing/2010/main" val="FF00FF" mc:Ignorable="a14" a14:legacySpreadsheetColorIndex="1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zh-TW" altLang="en-US" sz="1100"/>
        </a:p>
      </xdr:txBody>
    </xdr:sp>
    <xdr:clientData/>
  </xdr:twoCellAnchor>
  <xdr:twoCellAnchor>
    <xdr:from>
      <xdr:col>5</xdr:col>
      <xdr:colOff>15875</xdr:colOff>
      <xdr:row>18</xdr:row>
      <xdr:rowOff>167005</xdr:rowOff>
    </xdr:from>
    <xdr:to>
      <xdr:col>7</xdr:col>
      <xdr:colOff>271780</xdr:colOff>
      <xdr:row>22</xdr:row>
      <xdr:rowOff>114300</xdr:rowOff>
    </xdr:to>
    <xdr:cxnSp macro="">
      <xdr:nvCxnSpPr>
        <xdr:cNvPr id="44" name="直線接點 43"/>
        <xdr:cNvCxnSpPr/>
      </xdr:nvCxnSpPr>
      <xdr:spPr bwMode="auto">
        <a:xfrm flipV="1">
          <a:off x="4445000" y="4967605"/>
          <a:ext cx="2256155" cy="861695"/>
        </a:xfrm>
        <a:prstGeom prst="line">
          <a:avLst/>
        </a:prstGeom>
        <a:solidFill>
          <a:srgbClr val="FFFFFF"/>
        </a:solidFill>
        <a:ln w="3175" cap="rnd" cmpd="sng" algn="ctr">
          <a:solidFill>
            <a:srgbClr xmlns:mc="http://schemas.openxmlformats.org/markup-compatibility/2006" xmlns:a14="http://schemas.microsoft.com/office/drawing/2010/main" val="00FF00" mc:Ignorable="a14" a14:legacySpreadsheetColorIndex="3"/>
          </a:solidFill>
          <a:prstDash val="dot"/>
          <a:round/>
          <a:headEnd type="oval" w="med" len="med"/>
          <a:tailEnd type="oval" w="med" len="med"/>
        </a:ln>
        <a:effectLst/>
      </xdr:spPr>
    </xdr:cxnSp>
    <xdr:clientData/>
  </xdr:twoCellAnchor>
  <xdr:twoCellAnchor>
    <xdr:from>
      <xdr:col>7</xdr:col>
      <xdr:colOff>551180</xdr:colOff>
      <xdr:row>18</xdr:row>
      <xdr:rowOff>212725</xdr:rowOff>
    </xdr:from>
    <xdr:to>
      <xdr:col>7</xdr:col>
      <xdr:colOff>560070</xdr:colOff>
      <xdr:row>18</xdr:row>
      <xdr:rowOff>221615</xdr:rowOff>
    </xdr:to>
    <xdr:sp macro="" textlink="">
      <xdr:nvSpPr>
        <xdr:cNvPr id="45" name="矩形 44"/>
        <xdr:cNvSpPr/>
      </xdr:nvSpPr>
      <xdr:spPr bwMode="auto">
        <a:xfrm>
          <a:off x="6980555" y="5013325"/>
          <a:ext cx="8890" cy="889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FF" mc:Ignorable="a14" a14:legacySpreadsheetColorIndex="14"/>
        </a:solidFill>
        <a:ln w="38100" cap="flat" cmpd="sng" algn="ctr">
          <a:solidFill>
            <a:srgbClr xmlns:mc="http://schemas.openxmlformats.org/markup-compatibility/2006" xmlns:a14="http://schemas.microsoft.com/office/drawing/2010/main" val="FF00FF" mc:Ignorable="a14" a14:legacySpreadsheetColorIndex="1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zh-TW" altLang="en-US" sz="1100"/>
        </a:p>
      </xdr:txBody>
    </xdr:sp>
    <xdr:clientData/>
  </xdr:twoCellAnchor>
  <xdr:twoCellAnchor>
    <xdr:from>
      <xdr:col>5</xdr:col>
      <xdr:colOff>15875</xdr:colOff>
      <xdr:row>18</xdr:row>
      <xdr:rowOff>217170</xdr:rowOff>
    </xdr:from>
    <xdr:to>
      <xdr:col>7</xdr:col>
      <xdr:colOff>555625</xdr:colOff>
      <xdr:row>23</xdr:row>
      <xdr:rowOff>114300</xdr:rowOff>
    </xdr:to>
    <xdr:cxnSp macro="">
      <xdr:nvCxnSpPr>
        <xdr:cNvPr id="46" name="直線接點 45"/>
        <xdr:cNvCxnSpPr/>
      </xdr:nvCxnSpPr>
      <xdr:spPr bwMode="auto">
        <a:xfrm flipV="1">
          <a:off x="4445000" y="5017770"/>
          <a:ext cx="2540000" cy="1040130"/>
        </a:xfrm>
        <a:prstGeom prst="line">
          <a:avLst/>
        </a:prstGeom>
        <a:solidFill>
          <a:srgbClr val="FFFFFF"/>
        </a:solidFill>
        <a:ln w="3175" cap="rnd" cmpd="sng" algn="ctr">
          <a:solidFill>
            <a:srgbClr xmlns:mc="http://schemas.openxmlformats.org/markup-compatibility/2006" xmlns:a14="http://schemas.microsoft.com/office/drawing/2010/main" val="00FF00" mc:Ignorable="a14" a14:legacySpreadsheetColorIndex="3"/>
          </a:solidFill>
          <a:prstDash val="dot"/>
          <a:round/>
          <a:headEnd type="oval" w="med" len="med"/>
          <a:tailEnd type="oval" w="med" len="med"/>
        </a:ln>
        <a:effectLst/>
      </xdr:spPr>
    </xdr:cxnSp>
    <xdr:clientData/>
  </xdr:twoCellAnchor>
  <xdr:twoCellAnchor>
    <xdr:from>
      <xdr:col>7</xdr:col>
      <xdr:colOff>993140</xdr:colOff>
      <xdr:row>18</xdr:row>
      <xdr:rowOff>136525</xdr:rowOff>
    </xdr:from>
    <xdr:to>
      <xdr:col>8</xdr:col>
      <xdr:colOff>1905</xdr:colOff>
      <xdr:row>18</xdr:row>
      <xdr:rowOff>145415</xdr:rowOff>
    </xdr:to>
    <xdr:sp macro="" textlink="">
      <xdr:nvSpPr>
        <xdr:cNvPr id="47" name="矩形 46"/>
        <xdr:cNvSpPr/>
      </xdr:nvSpPr>
      <xdr:spPr bwMode="auto">
        <a:xfrm>
          <a:off x="7422515" y="4937125"/>
          <a:ext cx="8890" cy="889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FF" mc:Ignorable="a14" a14:legacySpreadsheetColorIndex="14"/>
        </a:solidFill>
        <a:ln w="38100" cap="flat" cmpd="sng" algn="ctr">
          <a:solidFill>
            <a:srgbClr xmlns:mc="http://schemas.openxmlformats.org/markup-compatibility/2006" xmlns:a14="http://schemas.microsoft.com/office/drawing/2010/main" val="FF00FF" mc:Ignorable="a14" a14:legacySpreadsheetColorIndex="1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zh-TW" altLang="en-US" sz="1100"/>
        </a:p>
      </xdr:txBody>
    </xdr:sp>
    <xdr:clientData/>
  </xdr:twoCellAnchor>
  <xdr:twoCellAnchor>
    <xdr:from>
      <xdr:col>5</xdr:col>
      <xdr:colOff>15875</xdr:colOff>
      <xdr:row>18</xdr:row>
      <xdr:rowOff>140970</xdr:rowOff>
    </xdr:from>
    <xdr:to>
      <xdr:col>7</xdr:col>
      <xdr:colOff>997585</xdr:colOff>
      <xdr:row>24</xdr:row>
      <xdr:rowOff>114300</xdr:rowOff>
    </xdr:to>
    <xdr:cxnSp macro="">
      <xdr:nvCxnSpPr>
        <xdr:cNvPr id="48" name="直線接點 47"/>
        <xdr:cNvCxnSpPr/>
      </xdr:nvCxnSpPr>
      <xdr:spPr bwMode="auto">
        <a:xfrm flipV="1">
          <a:off x="4445000" y="4941570"/>
          <a:ext cx="2981960" cy="1344930"/>
        </a:xfrm>
        <a:prstGeom prst="line">
          <a:avLst/>
        </a:prstGeom>
        <a:solidFill>
          <a:srgbClr val="FFFFFF"/>
        </a:solidFill>
        <a:ln w="3175" cap="rnd" cmpd="sng" algn="ctr">
          <a:solidFill>
            <a:srgbClr xmlns:mc="http://schemas.openxmlformats.org/markup-compatibility/2006" xmlns:a14="http://schemas.microsoft.com/office/drawing/2010/main" val="00FF00" mc:Ignorable="a14" a14:legacySpreadsheetColorIndex="3"/>
          </a:solidFill>
          <a:prstDash val="dot"/>
          <a:round/>
          <a:headEnd type="oval" w="med" len="med"/>
          <a:tailEnd type="oval" w="med" len="med"/>
        </a:ln>
        <a:effectLst/>
      </xdr:spPr>
    </xdr:cxnSp>
    <xdr:clientData/>
  </xdr:twoCellAnchor>
  <xdr:twoCellAnchor>
    <xdr:from>
      <xdr:col>7</xdr:col>
      <xdr:colOff>993140</xdr:colOff>
      <xdr:row>19</xdr:row>
      <xdr:rowOff>75565</xdr:rowOff>
    </xdr:from>
    <xdr:to>
      <xdr:col>8</xdr:col>
      <xdr:colOff>1905</xdr:colOff>
      <xdr:row>19</xdr:row>
      <xdr:rowOff>84455</xdr:rowOff>
    </xdr:to>
    <xdr:sp macro="" textlink="">
      <xdr:nvSpPr>
        <xdr:cNvPr id="49" name="矩形 48"/>
        <xdr:cNvSpPr/>
      </xdr:nvSpPr>
      <xdr:spPr bwMode="auto">
        <a:xfrm>
          <a:off x="7422515" y="5104765"/>
          <a:ext cx="8890" cy="889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FF" mc:Ignorable="a14" a14:legacySpreadsheetColorIndex="14"/>
        </a:solidFill>
        <a:ln w="38100" cap="flat" cmpd="sng" algn="ctr">
          <a:solidFill>
            <a:srgbClr xmlns:mc="http://schemas.openxmlformats.org/markup-compatibility/2006" xmlns:a14="http://schemas.microsoft.com/office/drawing/2010/main" val="FF00FF" mc:Ignorable="a14" a14:legacySpreadsheetColorIndex="1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zh-TW" altLang="en-US" sz="1100"/>
        </a:p>
      </xdr:txBody>
    </xdr:sp>
    <xdr:clientData/>
  </xdr:twoCellAnchor>
  <xdr:twoCellAnchor>
    <xdr:from>
      <xdr:col>5</xdr:col>
      <xdr:colOff>15875</xdr:colOff>
      <xdr:row>19</xdr:row>
      <xdr:rowOff>80010</xdr:rowOff>
    </xdr:from>
    <xdr:to>
      <xdr:col>7</xdr:col>
      <xdr:colOff>997585</xdr:colOff>
      <xdr:row>25</xdr:row>
      <xdr:rowOff>114300</xdr:rowOff>
    </xdr:to>
    <xdr:cxnSp macro="">
      <xdr:nvCxnSpPr>
        <xdr:cNvPr id="50" name="直線接點 49"/>
        <xdr:cNvCxnSpPr/>
      </xdr:nvCxnSpPr>
      <xdr:spPr bwMode="auto">
        <a:xfrm flipV="1">
          <a:off x="4445000" y="5109210"/>
          <a:ext cx="2981960" cy="1405890"/>
        </a:xfrm>
        <a:prstGeom prst="line">
          <a:avLst/>
        </a:prstGeom>
        <a:solidFill>
          <a:srgbClr val="FFFFFF"/>
        </a:solidFill>
        <a:ln w="3175" cap="rnd" cmpd="sng" algn="ctr">
          <a:solidFill>
            <a:srgbClr xmlns:mc="http://schemas.openxmlformats.org/markup-compatibility/2006" xmlns:a14="http://schemas.microsoft.com/office/drawing/2010/main" val="00FF00" mc:Ignorable="a14" a14:legacySpreadsheetColorIndex="3"/>
          </a:solidFill>
          <a:prstDash val="dot"/>
          <a:round/>
          <a:headEnd type="oval" w="med" len="med"/>
          <a:tailEnd type="oval" w="med" len="med"/>
        </a:ln>
        <a:effectLst/>
      </xdr:spPr>
    </xdr:cxnSp>
    <xdr:clientData/>
  </xdr:twoCellAnchor>
  <xdr:twoCellAnchor>
    <xdr:from>
      <xdr:col>7</xdr:col>
      <xdr:colOff>978218</xdr:colOff>
      <xdr:row>20</xdr:row>
      <xdr:rowOff>14605</xdr:rowOff>
    </xdr:from>
    <xdr:to>
      <xdr:col>7</xdr:col>
      <xdr:colOff>987108</xdr:colOff>
      <xdr:row>20</xdr:row>
      <xdr:rowOff>23495</xdr:rowOff>
    </xdr:to>
    <xdr:sp macro="" textlink="">
      <xdr:nvSpPr>
        <xdr:cNvPr id="51" name="矩形 50"/>
        <xdr:cNvSpPr/>
      </xdr:nvSpPr>
      <xdr:spPr bwMode="auto">
        <a:xfrm>
          <a:off x="7407593" y="5272405"/>
          <a:ext cx="8890" cy="889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FF" mc:Ignorable="a14" a14:legacySpreadsheetColorIndex="14"/>
        </a:solidFill>
        <a:ln w="38100" cap="flat" cmpd="sng" algn="ctr">
          <a:solidFill>
            <a:srgbClr xmlns:mc="http://schemas.openxmlformats.org/markup-compatibility/2006" xmlns:a14="http://schemas.microsoft.com/office/drawing/2010/main" val="FF00FF" mc:Ignorable="a14" a14:legacySpreadsheetColorIndex="1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zh-TW" altLang="en-US" sz="1100"/>
        </a:p>
      </xdr:txBody>
    </xdr:sp>
    <xdr:clientData/>
  </xdr:twoCellAnchor>
  <xdr:twoCellAnchor>
    <xdr:from>
      <xdr:col>5</xdr:col>
      <xdr:colOff>15875</xdr:colOff>
      <xdr:row>20</xdr:row>
      <xdr:rowOff>19050</xdr:rowOff>
    </xdr:from>
    <xdr:to>
      <xdr:col>7</xdr:col>
      <xdr:colOff>982663</xdr:colOff>
      <xdr:row>26</xdr:row>
      <xdr:rowOff>114300</xdr:rowOff>
    </xdr:to>
    <xdr:cxnSp macro="">
      <xdr:nvCxnSpPr>
        <xdr:cNvPr id="52" name="直線接點 51"/>
        <xdr:cNvCxnSpPr/>
      </xdr:nvCxnSpPr>
      <xdr:spPr bwMode="auto">
        <a:xfrm flipV="1">
          <a:off x="4445000" y="5276850"/>
          <a:ext cx="2967038" cy="1466850"/>
        </a:xfrm>
        <a:prstGeom prst="line">
          <a:avLst/>
        </a:prstGeom>
        <a:solidFill>
          <a:srgbClr val="FFFFFF"/>
        </a:solidFill>
        <a:ln w="3175" cap="rnd" cmpd="sng" algn="ctr">
          <a:solidFill>
            <a:srgbClr xmlns:mc="http://schemas.openxmlformats.org/markup-compatibility/2006" xmlns:a14="http://schemas.microsoft.com/office/drawing/2010/main" val="00FF00" mc:Ignorable="a14" a14:legacySpreadsheetColorIndex="3"/>
          </a:solidFill>
          <a:prstDash val="dot"/>
          <a:round/>
          <a:headEnd type="oval" w="med" len="med"/>
          <a:tailEnd type="oval" w="med" len="med"/>
        </a:ln>
        <a:effectLst/>
      </xdr:spPr>
    </xdr:cxnSp>
    <xdr:clientData/>
  </xdr:twoCellAnchor>
  <xdr:twoCellAnchor>
    <xdr:from>
      <xdr:col>8</xdr:col>
      <xdr:colOff>145732</xdr:colOff>
      <xdr:row>20</xdr:row>
      <xdr:rowOff>14605</xdr:rowOff>
    </xdr:from>
    <xdr:to>
      <xdr:col>8</xdr:col>
      <xdr:colOff>154622</xdr:colOff>
      <xdr:row>20</xdr:row>
      <xdr:rowOff>23495</xdr:rowOff>
    </xdr:to>
    <xdr:sp macro="" textlink="">
      <xdr:nvSpPr>
        <xdr:cNvPr id="53" name="矩形 52"/>
        <xdr:cNvSpPr/>
      </xdr:nvSpPr>
      <xdr:spPr bwMode="auto">
        <a:xfrm>
          <a:off x="7575232" y="5272405"/>
          <a:ext cx="8890" cy="889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FF" mc:Ignorable="a14" a14:legacySpreadsheetColorIndex="14"/>
        </a:solidFill>
        <a:ln w="38100" cap="flat" cmpd="sng" algn="ctr">
          <a:solidFill>
            <a:srgbClr xmlns:mc="http://schemas.openxmlformats.org/markup-compatibility/2006" xmlns:a14="http://schemas.microsoft.com/office/drawing/2010/main" val="FF00FF" mc:Ignorable="a14" a14:legacySpreadsheetColorIndex="1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zh-TW" altLang="en-US" sz="1100"/>
        </a:p>
      </xdr:txBody>
    </xdr:sp>
    <xdr:clientData/>
  </xdr:twoCellAnchor>
  <xdr:twoCellAnchor>
    <xdr:from>
      <xdr:col>5</xdr:col>
      <xdr:colOff>15875</xdr:colOff>
      <xdr:row>20</xdr:row>
      <xdr:rowOff>19050</xdr:rowOff>
    </xdr:from>
    <xdr:to>
      <xdr:col>8</xdr:col>
      <xdr:colOff>150178</xdr:colOff>
      <xdr:row>27</xdr:row>
      <xdr:rowOff>114300</xdr:rowOff>
    </xdr:to>
    <xdr:cxnSp macro="">
      <xdr:nvCxnSpPr>
        <xdr:cNvPr id="54" name="直線接點 53"/>
        <xdr:cNvCxnSpPr/>
      </xdr:nvCxnSpPr>
      <xdr:spPr bwMode="auto">
        <a:xfrm flipV="1">
          <a:off x="4445000" y="5276850"/>
          <a:ext cx="3134678" cy="1695450"/>
        </a:xfrm>
        <a:prstGeom prst="line">
          <a:avLst/>
        </a:prstGeom>
        <a:solidFill>
          <a:srgbClr val="FFFFFF"/>
        </a:solidFill>
        <a:ln w="3175" cap="rnd" cmpd="sng" algn="ctr">
          <a:solidFill>
            <a:srgbClr xmlns:mc="http://schemas.openxmlformats.org/markup-compatibility/2006" xmlns:a14="http://schemas.microsoft.com/office/drawing/2010/main" val="00FF00" mc:Ignorable="a14" a14:legacySpreadsheetColorIndex="3"/>
          </a:solidFill>
          <a:prstDash val="dot"/>
          <a:round/>
          <a:headEnd type="oval" w="med" len="med"/>
          <a:tailEnd type="oval" w="med" len="med"/>
        </a:ln>
        <a:effectLst/>
      </xdr:spPr>
    </xdr:cxnSp>
    <xdr:clientData/>
  </xdr:twoCellAnchor>
  <xdr:twoCellAnchor>
    <xdr:from>
      <xdr:col>6</xdr:col>
      <xdr:colOff>675322</xdr:colOff>
      <xdr:row>7</xdr:row>
      <xdr:rowOff>92710</xdr:rowOff>
    </xdr:from>
    <xdr:to>
      <xdr:col>6</xdr:col>
      <xdr:colOff>684213</xdr:colOff>
      <xdr:row>7</xdr:row>
      <xdr:rowOff>101600</xdr:rowOff>
    </xdr:to>
    <xdr:sp macro="" textlink="">
      <xdr:nvSpPr>
        <xdr:cNvPr id="55" name="矩形 54"/>
        <xdr:cNvSpPr/>
      </xdr:nvSpPr>
      <xdr:spPr bwMode="auto">
        <a:xfrm>
          <a:off x="6104572" y="2378710"/>
          <a:ext cx="8891" cy="889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FF" mc:Ignorable="a14" a14:legacySpreadsheetColorIndex="14"/>
        </a:solidFill>
        <a:ln w="38100" cap="flat" cmpd="sng" algn="ctr">
          <a:solidFill>
            <a:srgbClr xmlns:mc="http://schemas.openxmlformats.org/markup-compatibility/2006" xmlns:a14="http://schemas.microsoft.com/office/drawing/2010/main" val="FF00FF" mc:Ignorable="a14" a14:legacySpreadsheetColorIndex="1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zh-TW" altLang="en-US" sz="1100"/>
        </a:p>
      </xdr:txBody>
    </xdr:sp>
    <xdr:clientData/>
  </xdr:twoCellAnchor>
  <xdr:twoCellAnchor>
    <xdr:from>
      <xdr:col>5</xdr:col>
      <xdr:colOff>15875</xdr:colOff>
      <xdr:row>7</xdr:row>
      <xdr:rowOff>97155</xdr:rowOff>
    </xdr:from>
    <xdr:to>
      <xdr:col>6</xdr:col>
      <xdr:colOff>679767</xdr:colOff>
      <xdr:row>28</xdr:row>
      <xdr:rowOff>114300</xdr:rowOff>
    </xdr:to>
    <xdr:cxnSp macro="">
      <xdr:nvCxnSpPr>
        <xdr:cNvPr id="56" name="直線接點 55"/>
        <xdr:cNvCxnSpPr/>
      </xdr:nvCxnSpPr>
      <xdr:spPr bwMode="auto">
        <a:xfrm flipV="1">
          <a:off x="4445000" y="2383155"/>
          <a:ext cx="1664017" cy="4817745"/>
        </a:xfrm>
        <a:prstGeom prst="line">
          <a:avLst/>
        </a:prstGeom>
        <a:solidFill>
          <a:srgbClr val="FFFFFF"/>
        </a:solidFill>
        <a:ln w="3175" cap="rnd" cmpd="sng" algn="ctr">
          <a:solidFill>
            <a:srgbClr xmlns:mc="http://schemas.openxmlformats.org/markup-compatibility/2006" xmlns:a14="http://schemas.microsoft.com/office/drawing/2010/main" val="00FF00" mc:Ignorable="a14" a14:legacySpreadsheetColorIndex="3"/>
          </a:solidFill>
          <a:prstDash val="dot"/>
          <a:round/>
          <a:headEnd type="oval" w="med" len="med"/>
          <a:tailEnd type="oval" w="med" len="med"/>
        </a:ln>
        <a:effectLst/>
      </xdr:spPr>
    </xdr:cxnSp>
    <xdr:clientData/>
  </xdr:twoCellAnchor>
  <xdr:twoCellAnchor>
    <xdr:from>
      <xdr:col>5</xdr:col>
      <xdr:colOff>868204</xdr:colOff>
      <xdr:row>13</xdr:row>
      <xdr:rowOff>147955</xdr:rowOff>
    </xdr:from>
    <xdr:to>
      <xdr:col>5</xdr:col>
      <xdr:colOff>877094</xdr:colOff>
      <xdr:row>13</xdr:row>
      <xdr:rowOff>156845</xdr:rowOff>
    </xdr:to>
    <xdr:sp macro="" textlink="">
      <xdr:nvSpPr>
        <xdr:cNvPr id="57" name="矩形 56"/>
        <xdr:cNvSpPr/>
      </xdr:nvSpPr>
      <xdr:spPr bwMode="auto">
        <a:xfrm>
          <a:off x="5297329" y="3805555"/>
          <a:ext cx="8890" cy="889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FF" mc:Ignorable="a14" a14:legacySpreadsheetColorIndex="14"/>
        </a:solidFill>
        <a:ln w="38100" cap="flat" cmpd="sng" algn="ctr">
          <a:solidFill>
            <a:srgbClr xmlns:mc="http://schemas.openxmlformats.org/markup-compatibility/2006" xmlns:a14="http://schemas.microsoft.com/office/drawing/2010/main" val="FF00FF" mc:Ignorable="a14" a14:legacySpreadsheetColorIndex="1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zh-TW" altLang="en-US" sz="1100"/>
        </a:p>
      </xdr:txBody>
    </xdr:sp>
    <xdr:clientData/>
  </xdr:twoCellAnchor>
  <xdr:twoCellAnchor>
    <xdr:from>
      <xdr:col>5</xdr:col>
      <xdr:colOff>15875</xdr:colOff>
      <xdr:row>13</xdr:row>
      <xdr:rowOff>152400</xdr:rowOff>
    </xdr:from>
    <xdr:to>
      <xdr:col>5</xdr:col>
      <xdr:colOff>872649</xdr:colOff>
      <xdr:row>29</xdr:row>
      <xdr:rowOff>114300</xdr:rowOff>
    </xdr:to>
    <xdr:cxnSp macro="">
      <xdr:nvCxnSpPr>
        <xdr:cNvPr id="58" name="直線接點 57"/>
        <xdr:cNvCxnSpPr/>
      </xdr:nvCxnSpPr>
      <xdr:spPr bwMode="auto">
        <a:xfrm flipV="1">
          <a:off x="4445000" y="3810000"/>
          <a:ext cx="856774" cy="3619500"/>
        </a:xfrm>
        <a:prstGeom prst="line">
          <a:avLst/>
        </a:prstGeom>
        <a:solidFill>
          <a:srgbClr val="FFFFFF"/>
        </a:solidFill>
        <a:ln w="3175" cap="rnd" cmpd="sng" algn="ctr">
          <a:solidFill>
            <a:srgbClr xmlns:mc="http://schemas.openxmlformats.org/markup-compatibility/2006" xmlns:a14="http://schemas.microsoft.com/office/drawing/2010/main" val="00FF00" mc:Ignorable="a14" a14:legacySpreadsheetColorIndex="3"/>
          </a:solidFill>
          <a:prstDash val="dot"/>
          <a:round/>
          <a:headEnd type="oval" w="med" len="med"/>
          <a:tailEnd type="oval" w="med" len="med"/>
        </a:ln>
        <a:effectLst/>
      </xdr:spPr>
    </xdr:cxnSp>
    <xdr:clientData/>
  </xdr:twoCellAnchor>
  <xdr:twoCellAnchor>
    <xdr:from>
      <xdr:col>5</xdr:col>
      <xdr:colOff>822325</xdr:colOff>
      <xdr:row>6</xdr:row>
      <xdr:rowOff>103188</xdr:rowOff>
    </xdr:from>
    <xdr:to>
      <xdr:col>5</xdr:col>
      <xdr:colOff>822325</xdr:colOff>
      <xdr:row>20</xdr:row>
      <xdr:rowOff>201613</xdr:rowOff>
    </xdr:to>
    <xdr:cxnSp macro="">
      <xdr:nvCxnSpPr>
        <xdr:cNvPr id="59" name="直線接點 58"/>
        <xdr:cNvCxnSpPr/>
      </xdr:nvCxnSpPr>
      <xdr:spPr bwMode="auto">
        <a:xfrm flipV="1">
          <a:off x="5251450" y="2160588"/>
          <a:ext cx="0" cy="3298825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9</xdr:col>
      <xdr:colOff>288925</xdr:colOff>
      <xdr:row>6</xdr:row>
      <xdr:rowOff>103188</xdr:rowOff>
    </xdr:from>
    <xdr:to>
      <xdr:col>9</xdr:col>
      <xdr:colOff>288925</xdr:colOff>
      <xdr:row>20</xdr:row>
      <xdr:rowOff>201613</xdr:rowOff>
    </xdr:to>
    <xdr:cxnSp macro="">
      <xdr:nvCxnSpPr>
        <xdr:cNvPr id="60" name="直線接點 59"/>
        <xdr:cNvCxnSpPr/>
      </xdr:nvCxnSpPr>
      <xdr:spPr bwMode="auto">
        <a:xfrm flipV="1">
          <a:off x="8718550" y="2160588"/>
          <a:ext cx="0" cy="3298825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822325</xdr:colOff>
      <xdr:row>20</xdr:row>
      <xdr:rowOff>201613</xdr:rowOff>
    </xdr:from>
    <xdr:to>
      <xdr:col>9</xdr:col>
      <xdr:colOff>288925</xdr:colOff>
      <xdr:row>20</xdr:row>
      <xdr:rowOff>201613</xdr:rowOff>
    </xdr:to>
    <xdr:cxnSp macro="">
      <xdr:nvCxnSpPr>
        <xdr:cNvPr id="61" name="直線接點 60"/>
        <xdr:cNvCxnSpPr/>
      </xdr:nvCxnSpPr>
      <xdr:spPr bwMode="auto">
        <a:xfrm>
          <a:off x="5251450" y="5459413"/>
          <a:ext cx="3467100" cy="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822325</xdr:colOff>
      <xdr:row>6</xdr:row>
      <xdr:rowOff>103188</xdr:rowOff>
    </xdr:from>
    <xdr:to>
      <xdr:col>9</xdr:col>
      <xdr:colOff>288925</xdr:colOff>
      <xdr:row>6</xdr:row>
      <xdr:rowOff>103188</xdr:rowOff>
    </xdr:to>
    <xdr:cxnSp macro="">
      <xdr:nvCxnSpPr>
        <xdr:cNvPr id="62" name="直線接點 61"/>
        <xdr:cNvCxnSpPr/>
      </xdr:nvCxnSpPr>
      <xdr:spPr bwMode="auto">
        <a:xfrm>
          <a:off x="5251450" y="2160588"/>
          <a:ext cx="3467100" cy="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825500</xdr:colOff>
      <xdr:row>6</xdr:row>
      <xdr:rowOff>88900</xdr:rowOff>
    </xdr:from>
    <xdr:to>
      <xdr:col>9</xdr:col>
      <xdr:colOff>301625</xdr:colOff>
      <xdr:row>20</xdr:row>
      <xdr:rowOff>214052</xdr:rowOff>
    </xdr:to>
    <xdr:grpSp>
      <xdr:nvGrpSpPr>
        <xdr:cNvPr id="63" name="群組 62"/>
        <xdr:cNvGrpSpPr/>
      </xdr:nvGrpSpPr>
      <xdr:grpSpPr>
        <a:xfrm>
          <a:off x="6794500" y="2146300"/>
          <a:ext cx="3489325" cy="3325552"/>
          <a:chOff x="9474200" y="6191123"/>
          <a:chExt cx="3489325" cy="3325552"/>
        </a:xfrm>
      </xdr:grpSpPr>
      <xdr:cxnSp macro="">
        <xdr:nvCxnSpPr>
          <xdr:cNvPr id="64" name="直線接點 63"/>
          <xdr:cNvCxnSpPr/>
        </xdr:nvCxnSpPr>
        <xdr:spPr bwMode="auto">
          <a:xfrm>
            <a:off x="11223625" y="7854823"/>
            <a:ext cx="0" cy="0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65" name="直線接點 64"/>
          <xdr:cNvCxnSpPr/>
        </xdr:nvCxnSpPr>
        <xdr:spPr bwMode="auto">
          <a:xfrm>
            <a:off x="11376025" y="8007223"/>
            <a:ext cx="0" cy="0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66" name="直線接點 65"/>
          <xdr:cNvCxnSpPr/>
        </xdr:nvCxnSpPr>
        <xdr:spPr bwMode="auto">
          <a:xfrm flipV="1">
            <a:off x="9483725" y="6205411"/>
            <a:ext cx="0" cy="3298825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67" name="直線接點 66"/>
          <xdr:cNvCxnSpPr/>
        </xdr:nvCxnSpPr>
        <xdr:spPr bwMode="auto">
          <a:xfrm flipV="1">
            <a:off x="12963525" y="6205411"/>
            <a:ext cx="0" cy="3298825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68" name="直線接點 67"/>
          <xdr:cNvCxnSpPr/>
        </xdr:nvCxnSpPr>
        <xdr:spPr bwMode="auto">
          <a:xfrm>
            <a:off x="9483725" y="9504236"/>
            <a:ext cx="3479800" cy="0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69" name="直線接點 68"/>
          <xdr:cNvCxnSpPr/>
        </xdr:nvCxnSpPr>
        <xdr:spPr bwMode="auto">
          <a:xfrm>
            <a:off x="9483725" y="6205411"/>
            <a:ext cx="3479800" cy="0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70" name="直線接點 69"/>
          <xdr:cNvCxnSpPr/>
        </xdr:nvCxnSpPr>
        <xdr:spPr bwMode="auto">
          <a:xfrm>
            <a:off x="9474200" y="6915118"/>
            <a:ext cx="3479800" cy="0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71" name="直線接點 70"/>
          <xdr:cNvCxnSpPr/>
        </xdr:nvCxnSpPr>
        <xdr:spPr bwMode="auto">
          <a:xfrm>
            <a:off x="9474200" y="6683343"/>
            <a:ext cx="3479800" cy="0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72" name="直線接點 71"/>
          <xdr:cNvCxnSpPr/>
        </xdr:nvCxnSpPr>
        <xdr:spPr bwMode="auto">
          <a:xfrm>
            <a:off x="9474200" y="6451568"/>
            <a:ext cx="3479800" cy="0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73" name="直線接點 72"/>
          <xdr:cNvCxnSpPr/>
        </xdr:nvCxnSpPr>
        <xdr:spPr bwMode="auto">
          <a:xfrm flipH="1" flipV="1">
            <a:off x="9626601" y="6452727"/>
            <a:ext cx="4526" cy="684546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74" name="直線接點 73"/>
          <xdr:cNvCxnSpPr/>
        </xdr:nvCxnSpPr>
        <xdr:spPr bwMode="auto">
          <a:xfrm flipH="1" flipV="1">
            <a:off x="9774237" y="6452727"/>
            <a:ext cx="3632" cy="667634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75" name="直線接點 74"/>
          <xdr:cNvCxnSpPr/>
        </xdr:nvCxnSpPr>
        <xdr:spPr bwMode="auto">
          <a:xfrm flipH="1" flipV="1">
            <a:off x="9918700" y="6452731"/>
            <a:ext cx="629" cy="672345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76" name="直線接點 75"/>
          <xdr:cNvCxnSpPr/>
        </xdr:nvCxnSpPr>
        <xdr:spPr bwMode="auto">
          <a:xfrm flipV="1">
            <a:off x="10060789" y="6457444"/>
            <a:ext cx="2373" cy="672348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77" name="直線接點 76"/>
          <xdr:cNvCxnSpPr/>
        </xdr:nvCxnSpPr>
        <xdr:spPr bwMode="auto">
          <a:xfrm flipV="1">
            <a:off x="10206965" y="6448012"/>
            <a:ext cx="660" cy="677064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78" name="直線接點 77"/>
          <xdr:cNvCxnSpPr/>
        </xdr:nvCxnSpPr>
        <xdr:spPr bwMode="auto">
          <a:xfrm flipV="1">
            <a:off x="10348425" y="6191123"/>
            <a:ext cx="3662" cy="929238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79" name="直線接點 78"/>
          <xdr:cNvCxnSpPr/>
        </xdr:nvCxnSpPr>
        <xdr:spPr bwMode="auto">
          <a:xfrm flipV="1">
            <a:off x="10494601" y="6191124"/>
            <a:ext cx="1949" cy="924522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80" name="直線接點 79"/>
          <xdr:cNvCxnSpPr/>
        </xdr:nvCxnSpPr>
        <xdr:spPr bwMode="auto">
          <a:xfrm flipV="1">
            <a:off x="10636062" y="6191124"/>
            <a:ext cx="4950" cy="933952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81" name="直線接點 80"/>
          <xdr:cNvCxnSpPr/>
        </xdr:nvCxnSpPr>
        <xdr:spPr bwMode="auto">
          <a:xfrm flipH="1" flipV="1">
            <a:off x="10788651" y="6191124"/>
            <a:ext cx="1948" cy="929237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82" name="直線接點 81"/>
          <xdr:cNvCxnSpPr/>
        </xdr:nvCxnSpPr>
        <xdr:spPr bwMode="auto">
          <a:xfrm flipV="1">
            <a:off x="10927344" y="6191124"/>
            <a:ext cx="5768" cy="924522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83" name="直線接點 82"/>
          <xdr:cNvCxnSpPr/>
        </xdr:nvCxnSpPr>
        <xdr:spPr bwMode="auto">
          <a:xfrm flipV="1">
            <a:off x="11073519" y="6191124"/>
            <a:ext cx="4056" cy="919806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84" name="直線接點 83"/>
          <xdr:cNvCxnSpPr/>
        </xdr:nvCxnSpPr>
        <xdr:spPr bwMode="auto">
          <a:xfrm flipV="1">
            <a:off x="11214980" y="6191123"/>
            <a:ext cx="7057" cy="924523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85" name="直線接點 84"/>
          <xdr:cNvCxnSpPr/>
        </xdr:nvCxnSpPr>
        <xdr:spPr bwMode="auto">
          <a:xfrm flipV="1">
            <a:off x="11356440" y="6191123"/>
            <a:ext cx="10060" cy="933953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86" name="直線接點 85"/>
          <xdr:cNvCxnSpPr/>
        </xdr:nvCxnSpPr>
        <xdr:spPr bwMode="auto">
          <a:xfrm flipV="1">
            <a:off x="11502616" y="6191124"/>
            <a:ext cx="8346" cy="948098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87" name="直線接點 86"/>
          <xdr:cNvCxnSpPr/>
        </xdr:nvCxnSpPr>
        <xdr:spPr bwMode="auto">
          <a:xfrm flipV="1">
            <a:off x="11648792" y="6191123"/>
            <a:ext cx="6633" cy="943384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88" name="直線接點 87"/>
          <xdr:cNvCxnSpPr/>
        </xdr:nvCxnSpPr>
        <xdr:spPr bwMode="auto">
          <a:xfrm flipV="1">
            <a:off x="11798614" y="6191123"/>
            <a:ext cx="4448" cy="929238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89" name="直線接點 88"/>
          <xdr:cNvCxnSpPr/>
        </xdr:nvCxnSpPr>
        <xdr:spPr bwMode="auto">
          <a:xfrm flipV="1">
            <a:off x="11940075" y="6191123"/>
            <a:ext cx="7450" cy="938669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90" name="直線接點 89"/>
          <xdr:cNvCxnSpPr/>
        </xdr:nvCxnSpPr>
        <xdr:spPr bwMode="auto">
          <a:xfrm flipV="1">
            <a:off x="12086251" y="6191123"/>
            <a:ext cx="5736" cy="929238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91" name="直線接點 90"/>
          <xdr:cNvCxnSpPr/>
        </xdr:nvCxnSpPr>
        <xdr:spPr bwMode="auto">
          <a:xfrm flipV="1">
            <a:off x="12232426" y="6457442"/>
            <a:ext cx="4026" cy="662919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92" name="直線接點 91"/>
          <xdr:cNvCxnSpPr/>
        </xdr:nvCxnSpPr>
        <xdr:spPr bwMode="auto">
          <a:xfrm flipV="1">
            <a:off x="12373887" y="6462164"/>
            <a:ext cx="7025" cy="662912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93" name="直線接點 92"/>
          <xdr:cNvCxnSpPr/>
        </xdr:nvCxnSpPr>
        <xdr:spPr bwMode="auto">
          <a:xfrm flipV="1">
            <a:off x="12524778" y="6462164"/>
            <a:ext cx="597" cy="662912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94" name="直線接點 93"/>
          <xdr:cNvCxnSpPr/>
        </xdr:nvCxnSpPr>
        <xdr:spPr bwMode="auto">
          <a:xfrm flipV="1">
            <a:off x="12666238" y="6462163"/>
            <a:ext cx="10420" cy="653483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95" name="直線接點 94"/>
          <xdr:cNvCxnSpPr/>
        </xdr:nvCxnSpPr>
        <xdr:spPr bwMode="auto">
          <a:xfrm flipV="1">
            <a:off x="12816060" y="6462163"/>
            <a:ext cx="1415" cy="662913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96" name="直線接點 95"/>
          <xdr:cNvCxnSpPr/>
        </xdr:nvCxnSpPr>
        <xdr:spPr bwMode="auto">
          <a:xfrm>
            <a:off x="9477148" y="7120364"/>
            <a:ext cx="3479800" cy="0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97" name="直線接點 96"/>
          <xdr:cNvCxnSpPr/>
        </xdr:nvCxnSpPr>
        <xdr:spPr bwMode="auto">
          <a:xfrm>
            <a:off x="9527446" y="8969343"/>
            <a:ext cx="3375324" cy="0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98" name="直線接點 97"/>
          <xdr:cNvCxnSpPr/>
        </xdr:nvCxnSpPr>
        <xdr:spPr bwMode="auto">
          <a:xfrm>
            <a:off x="9527446" y="8703554"/>
            <a:ext cx="3375324" cy="0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99" name="直線接點 98"/>
          <xdr:cNvCxnSpPr/>
        </xdr:nvCxnSpPr>
        <xdr:spPr bwMode="auto">
          <a:xfrm>
            <a:off x="9527446" y="8437766"/>
            <a:ext cx="3375324" cy="0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100" name="直線接點 99"/>
          <xdr:cNvCxnSpPr/>
        </xdr:nvCxnSpPr>
        <xdr:spPr bwMode="auto">
          <a:xfrm>
            <a:off x="9527446" y="8171978"/>
            <a:ext cx="3375324" cy="0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101" name="直線接點 100"/>
          <xdr:cNvCxnSpPr/>
        </xdr:nvCxnSpPr>
        <xdr:spPr bwMode="auto">
          <a:xfrm>
            <a:off x="9527446" y="7903926"/>
            <a:ext cx="3375324" cy="0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102" name="直線接點 101"/>
          <xdr:cNvCxnSpPr/>
        </xdr:nvCxnSpPr>
        <xdr:spPr bwMode="auto">
          <a:xfrm>
            <a:off x="9527446" y="7638137"/>
            <a:ext cx="3375324" cy="0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103" name="直線接點 102"/>
          <xdr:cNvCxnSpPr/>
        </xdr:nvCxnSpPr>
        <xdr:spPr bwMode="auto">
          <a:xfrm>
            <a:off x="9527446" y="7372349"/>
            <a:ext cx="3375324" cy="0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104" name="直線接點 103"/>
          <xdr:cNvCxnSpPr/>
        </xdr:nvCxnSpPr>
        <xdr:spPr bwMode="auto">
          <a:xfrm flipH="1" flipV="1">
            <a:off x="9533768" y="7115653"/>
            <a:ext cx="11776" cy="1848772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105" name="直線接點 104"/>
          <xdr:cNvCxnSpPr/>
        </xdr:nvCxnSpPr>
        <xdr:spPr bwMode="auto">
          <a:xfrm flipH="1" flipV="1">
            <a:off x="9713627" y="7115652"/>
            <a:ext cx="16122" cy="1859868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106" name="直線接點 105"/>
          <xdr:cNvCxnSpPr/>
        </xdr:nvCxnSpPr>
        <xdr:spPr bwMode="auto">
          <a:xfrm flipH="1" flipV="1">
            <a:off x="9889840" y="7115652"/>
            <a:ext cx="2531" cy="1841283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107" name="直線接點 106"/>
          <xdr:cNvCxnSpPr/>
        </xdr:nvCxnSpPr>
        <xdr:spPr bwMode="auto">
          <a:xfrm flipV="1">
            <a:off x="10064285" y="7115652"/>
            <a:ext cx="1767" cy="1831990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108" name="直線接點 107"/>
          <xdr:cNvCxnSpPr/>
        </xdr:nvCxnSpPr>
        <xdr:spPr bwMode="auto">
          <a:xfrm flipH="1" flipV="1">
            <a:off x="10242265" y="7115652"/>
            <a:ext cx="7874" cy="1841283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109" name="直線接點 108"/>
          <xdr:cNvCxnSpPr/>
        </xdr:nvCxnSpPr>
        <xdr:spPr bwMode="auto">
          <a:xfrm flipV="1">
            <a:off x="10412761" y="7115652"/>
            <a:ext cx="5716" cy="1855222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110" name="直線接點 109"/>
          <xdr:cNvCxnSpPr/>
        </xdr:nvCxnSpPr>
        <xdr:spPr bwMode="auto">
          <a:xfrm flipH="1" flipV="1">
            <a:off x="10597865" y="7115652"/>
            <a:ext cx="749" cy="1850576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111" name="直線接點 110"/>
          <xdr:cNvCxnSpPr/>
        </xdr:nvCxnSpPr>
        <xdr:spPr bwMode="auto">
          <a:xfrm flipH="1" flipV="1">
            <a:off x="10777723" y="7115652"/>
            <a:ext cx="6436" cy="1850576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112" name="直線接點 111"/>
          <xdr:cNvCxnSpPr/>
        </xdr:nvCxnSpPr>
        <xdr:spPr bwMode="auto">
          <a:xfrm flipV="1">
            <a:off x="10951427" y="7115653"/>
            <a:ext cx="2509" cy="1845928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113" name="直線接點 112"/>
          <xdr:cNvCxnSpPr/>
        </xdr:nvCxnSpPr>
        <xdr:spPr bwMode="auto">
          <a:xfrm flipV="1">
            <a:off x="11127988" y="7115652"/>
            <a:ext cx="2160" cy="1855222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114" name="直線接點 113"/>
          <xdr:cNvCxnSpPr/>
        </xdr:nvCxnSpPr>
        <xdr:spPr bwMode="auto">
          <a:xfrm flipH="1" flipV="1">
            <a:off x="11306362" y="7115652"/>
            <a:ext cx="3775" cy="1850323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115" name="直線接點 114"/>
          <xdr:cNvCxnSpPr/>
        </xdr:nvCxnSpPr>
        <xdr:spPr bwMode="auto">
          <a:xfrm flipH="1" flipV="1">
            <a:off x="11482573" y="7115652"/>
            <a:ext cx="13007" cy="1854538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116" name="直線接點 115"/>
          <xdr:cNvCxnSpPr/>
        </xdr:nvCxnSpPr>
        <xdr:spPr bwMode="auto">
          <a:xfrm flipV="1">
            <a:off x="11657671" y="7115652"/>
            <a:ext cx="4290" cy="1859868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117" name="直線接點 116"/>
          <xdr:cNvCxnSpPr/>
        </xdr:nvCxnSpPr>
        <xdr:spPr bwMode="auto">
          <a:xfrm flipH="1" flipV="1">
            <a:off x="11841820" y="7115653"/>
            <a:ext cx="5412" cy="2389016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118" name="直線接點 117"/>
          <xdr:cNvCxnSpPr/>
        </xdr:nvCxnSpPr>
        <xdr:spPr bwMode="auto">
          <a:xfrm flipH="1" flipV="1">
            <a:off x="12014033" y="7115652"/>
            <a:ext cx="9354" cy="2381506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119" name="直線接點 118"/>
          <xdr:cNvCxnSpPr/>
        </xdr:nvCxnSpPr>
        <xdr:spPr bwMode="auto">
          <a:xfrm flipV="1">
            <a:off x="12191306" y="7115653"/>
            <a:ext cx="2939" cy="2401022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120" name="直線接點 119"/>
          <xdr:cNvCxnSpPr/>
        </xdr:nvCxnSpPr>
        <xdr:spPr bwMode="auto">
          <a:xfrm flipV="1">
            <a:off x="12358958" y="7115654"/>
            <a:ext cx="11500" cy="2130284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121" name="直線接點 120"/>
          <xdr:cNvCxnSpPr/>
        </xdr:nvCxnSpPr>
        <xdr:spPr bwMode="auto">
          <a:xfrm flipV="1">
            <a:off x="12540166" y="7115652"/>
            <a:ext cx="9679" cy="2116347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122" name="直線接點 121"/>
          <xdr:cNvCxnSpPr/>
        </xdr:nvCxnSpPr>
        <xdr:spPr bwMode="auto">
          <a:xfrm flipV="1">
            <a:off x="12725710" y="7110932"/>
            <a:ext cx="10185" cy="2116421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123" name="直線接點 122"/>
          <xdr:cNvCxnSpPr/>
        </xdr:nvCxnSpPr>
        <xdr:spPr bwMode="auto">
          <a:xfrm flipV="1">
            <a:off x="12897624" y="7123499"/>
            <a:ext cx="9293" cy="2103854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124" name="直線接點 123"/>
          <xdr:cNvCxnSpPr/>
        </xdr:nvCxnSpPr>
        <xdr:spPr bwMode="auto">
          <a:xfrm>
            <a:off x="11861800" y="9220200"/>
            <a:ext cx="1079500" cy="12700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</xdr:grp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381000</xdr:colOff>
      <xdr:row>17</xdr:row>
      <xdr:rowOff>114300</xdr:rowOff>
    </xdr:from>
    <xdr:to>
      <xdr:col>0</xdr:col>
      <xdr:colOff>1104900</xdr:colOff>
      <xdr:row>17</xdr:row>
      <xdr:rowOff>123825</xdr:rowOff>
    </xdr:to>
    <xdr:sp macro="" textlink="">
      <xdr:nvSpPr>
        <xdr:cNvPr id="101533" name="Rectangle 2"/>
        <xdr:cNvSpPr>
          <a:spLocks noChangeArrowheads="1"/>
        </xdr:cNvSpPr>
      </xdr:nvSpPr>
      <xdr:spPr bwMode="auto">
        <a:xfrm>
          <a:off x="381000" y="5295900"/>
          <a:ext cx="723900" cy="9525"/>
        </a:xfrm>
        <a:prstGeom prst="rect">
          <a:avLst/>
        </a:prstGeom>
        <a:solidFill>
          <a:srgbClr val="FF6600"/>
        </a:solidFill>
        <a:ln w="38100">
          <a:solidFill>
            <a:srgbClr val="FF66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390525</xdr:colOff>
      <xdr:row>16</xdr:row>
      <xdr:rowOff>123825</xdr:rowOff>
    </xdr:from>
    <xdr:to>
      <xdr:col>0</xdr:col>
      <xdr:colOff>1114425</xdr:colOff>
      <xdr:row>16</xdr:row>
      <xdr:rowOff>133350</xdr:rowOff>
    </xdr:to>
    <xdr:sp macro="" textlink="">
      <xdr:nvSpPr>
        <xdr:cNvPr id="101534" name="Rectangle 3"/>
        <xdr:cNvSpPr>
          <a:spLocks noChangeArrowheads="1"/>
        </xdr:cNvSpPr>
      </xdr:nvSpPr>
      <xdr:spPr bwMode="auto">
        <a:xfrm>
          <a:off x="390525" y="5000625"/>
          <a:ext cx="723900" cy="9525"/>
        </a:xfrm>
        <a:prstGeom prst="rect">
          <a:avLst/>
        </a:prstGeom>
        <a:solidFill>
          <a:srgbClr val="0000FF"/>
        </a:solidFill>
        <a:ln w="38100">
          <a:solidFill>
            <a:srgbClr val="0000FF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381000</xdr:colOff>
      <xdr:row>18</xdr:row>
      <xdr:rowOff>114300</xdr:rowOff>
    </xdr:from>
    <xdr:to>
      <xdr:col>0</xdr:col>
      <xdr:colOff>1104900</xdr:colOff>
      <xdr:row>18</xdr:row>
      <xdr:rowOff>123825</xdr:rowOff>
    </xdr:to>
    <xdr:sp macro="" textlink="">
      <xdr:nvSpPr>
        <xdr:cNvPr id="101535" name="Rectangle 4"/>
        <xdr:cNvSpPr>
          <a:spLocks noChangeArrowheads="1"/>
        </xdr:cNvSpPr>
      </xdr:nvSpPr>
      <xdr:spPr bwMode="auto">
        <a:xfrm>
          <a:off x="381000" y="5600700"/>
          <a:ext cx="723900" cy="9525"/>
        </a:xfrm>
        <a:prstGeom prst="rect">
          <a:avLst/>
        </a:prstGeom>
        <a:solidFill>
          <a:srgbClr val="99CC00"/>
        </a:solidFill>
        <a:ln w="38100">
          <a:solidFill>
            <a:srgbClr val="99CC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695325</xdr:colOff>
      <xdr:row>19</xdr:row>
      <xdr:rowOff>85725</xdr:rowOff>
    </xdr:from>
    <xdr:to>
      <xdr:col>0</xdr:col>
      <xdr:colOff>742950</xdr:colOff>
      <xdr:row>19</xdr:row>
      <xdr:rowOff>133350</xdr:rowOff>
    </xdr:to>
    <xdr:sp macro="" textlink="">
      <xdr:nvSpPr>
        <xdr:cNvPr id="101536" name="Rectangle 5"/>
        <xdr:cNvSpPr>
          <a:spLocks noChangeAspect="1" noChangeArrowheads="1"/>
        </xdr:cNvSpPr>
      </xdr:nvSpPr>
      <xdr:spPr bwMode="auto">
        <a:xfrm>
          <a:off x="695325" y="5876925"/>
          <a:ext cx="47625" cy="47625"/>
        </a:xfrm>
        <a:prstGeom prst="rect">
          <a:avLst/>
        </a:prstGeom>
        <a:solidFill>
          <a:srgbClr val="FF00FF"/>
        </a:solidFill>
        <a:ln w="38100">
          <a:solidFill>
            <a:srgbClr val="FF00FF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400050</xdr:colOff>
      <xdr:row>15</xdr:row>
      <xdr:rowOff>114300</xdr:rowOff>
    </xdr:from>
    <xdr:to>
      <xdr:col>0</xdr:col>
      <xdr:colOff>1123950</xdr:colOff>
      <xdr:row>15</xdr:row>
      <xdr:rowOff>123825</xdr:rowOff>
    </xdr:to>
    <xdr:sp macro="" textlink="">
      <xdr:nvSpPr>
        <xdr:cNvPr id="101537" name="Rectangle 6"/>
        <xdr:cNvSpPr>
          <a:spLocks noChangeArrowheads="1"/>
        </xdr:cNvSpPr>
      </xdr:nvSpPr>
      <xdr:spPr bwMode="auto">
        <a:xfrm>
          <a:off x="400050" y="4686300"/>
          <a:ext cx="723900" cy="9525"/>
        </a:xfrm>
        <a:prstGeom prst="rect">
          <a:avLst/>
        </a:prstGeom>
        <a:solidFill>
          <a:srgbClr val="800080"/>
        </a:solidFill>
        <a:ln w="38100">
          <a:solidFill>
            <a:srgbClr val="80008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400050</xdr:colOff>
      <xdr:row>14</xdr:row>
      <xdr:rowOff>114300</xdr:rowOff>
    </xdr:from>
    <xdr:to>
      <xdr:col>0</xdr:col>
      <xdr:colOff>1123950</xdr:colOff>
      <xdr:row>14</xdr:row>
      <xdr:rowOff>123825</xdr:rowOff>
    </xdr:to>
    <xdr:sp macro="" textlink="">
      <xdr:nvSpPr>
        <xdr:cNvPr id="101538" name="Rectangle 12"/>
        <xdr:cNvSpPr>
          <a:spLocks noChangeArrowheads="1"/>
        </xdr:cNvSpPr>
      </xdr:nvSpPr>
      <xdr:spPr bwMode="auto">
        <a:xfrm>
          <a:off x="400050" y="4381500"/>
          <a:ext cx="723900" cy="9525"/>
        </a:xfrm>
        <a:prstGeom prst="rect">
          <a:avLst/>
        </a:prstGeom>
        <a:solidFill>
          <a:srgbClr val="969696"/>
        </a:solidFill>
        <a:ln w="38100">
          <a:solidFill>
            <a:srgbClr val="969696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390525</xdr:colOff>
      <xdr:row>20</xdr:row>
      <xdr:rowOff>123825</xdr:rowOff>
    </xdr:from>
    <xdr:to>
      <xdr:col>0</xdr:col>
      <xdr:colOff>1114425</xdr:colOff>
      <xdr:row>20</xdr:row>
      <xdr:rowOff>133350</xdr:rowOff>
    </xdr:to>
    <xdr:sp macro="" textlink="">
      <xdr:nvSpPr>
        <xdr:cNvPr id="101539" name="Rectangle 148"/>
        <xdr:cNvSpPr>
          <a:spLocks noChangeArrowheads="1"/>
        </xdr:cNvSpPr>
      </xdr:nvSpPr>
      <xdr:spPr bwMode="auto">
        <a:xfrm>
          <a:off x="390525" y="6219825"/>
          <a:ext cx="723900" cy="9525"/>
        </a:xfrm>
        <a:prstGeom prst="rect">
          <a:avLst/>
        </a:prstGeom>
        <a:solidFill>
          <a:srgbClr val="00FFFF"/>
        </a:solidFill>
        <a:ln w="38100">
          <a:solidFill>
            <a:srgbClr val="00FFFF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409575</xdr:colOff>
      <xdr:row>21</xdr:row>
      <xdr:rowOff>123825</xdr:rowOff>
    </xdr:from>
    <xdr:to>
      <xdr:col>0</xdr:col>
      <xdr:colOff>1133475</xdr:colOff>
      <xdr:row>21</xdr:row>
      <xdr:rowOff>133350</xdr:rowOff>
    </xdr:to>
    <xdr:sp macro="" textlink="">
      <xdr:nvSpPr>
        <xdr:cNvPr id="101540" name="Rectangle 149"/>
        <xdr:cNvSpPr>
          <a:spLocks noChangeArrowheads="1"/>
        </xdr:cNvSpPr>
      </xdr:nvSpPr>
      <xdr:spPr bwMode="auto">
        <a:xfrm>
          <a:off x="409575" y="6524625"/>
          <a:ext cx="723900" cy="9525"/>
        </a:xfrm>
        <a:prstGeom prst="rect">
          <a:avLst/>
        </a:prstGeom>
        <a:solidFill>
          <a:srgbClr val="CC99FF"/>
        </a:solidFill>
        <a:ln w="38100">
          <a:solidFill>
            <a:srgbClr val="CC99FF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390525</xdr:colOff>
      <xdr:row>22</xdr:row>
      <xdr:rowOff>123825</xdr:rowOff>
    </xdr:from>
    <xdr:to>
      <xdr:col>0</xdr:col>
      <xdr:colOff>1114425</xdr:colOff>
      <xdr:row>22</xdr:row>
      <xdr:rowOff>133350</xdr:rowOff>
    </xdr:to>
    <xdr:sp macro="" textlink="">
      <xdr:nvSpPr>
        <xdr:cNvPr id="101541" name="Rectangle 152"/>
        <xdr:cNvSpPr>
          <a:spLocks noChangeArrowheads="1"/>
        </xdr:cNvSpPr>
      </xdr:nvSpPr>
      <xdr:spPr bwMode="auto">
        <a:xfrm>
          <a:off x="390525" y="6829425"/>
          <a:ext cx="723900" cy="9525"/>
        </a:xfrm>
        <a:prstGeom prst="rect">
          <a:avLst/>
        </a:prstGeom>
        <a:solidFill>
          <a:srgbClr val="800000"/>
        </a:solidFill>
        <a:ln w="38100">
          <a:solidFill>
            <a:srgbClr val="8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476250</xdr:colOff>
      <xdr:row>3</xdr:row>
      <xdr:rowOff>39688</xdr:rowOff>
    </xdr:from>
    <xdr:to>
      <xdr:col>12</xdr:col>
      <xdr:colOff>571500</xdr:colOff>
      <xdr:row>17</xdr:row>
      <xdr:rowOff>63500</xdr:rowOff>
    </xdr:to>
    <xdr:grpSp>
      <xdr:nvGrpSpPr>
        <xdr:cNvPr id="101563" name="群組 101562"/>
        <xdr:cNvGrpSpPr/>
      </xdr:nvGrpSpPr>
      <xdr:grpSpPr>
        <a:xfrm>
          <a:off x="5200650" y="954088"/>
          <a:ext cx="4057650" cy="4291012"/>
          <a:chOff x="5264150" y="2147888"/>
          <a:chExt cx="3496469" cy="3325552"/>
        </a:xfrm>
      </xdr:grpSpPr>
      <xdr:cxnSp macro="">
        <xdr:nvCxnSpPr>
          <xdr:cNvPr id="5" name="直線接點 4"/>
          <xdr:cNvCxnSpPr/>
        </xdr:nvCxnSpPr>
        <xdr:spPr bwMode="auto">
          <a:xfrm>
            <a:off x="7013575" y="3810000"/>
            <a:ext cx="0" cy="0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7" name="直線接點 6"/>
          <xdr:cNvCxnSpPr/>
        </xdr:nvCxnSpPr>
        <xdr:spPr bwMode="auto">
          <a:xfrm>
            <a:off x="7013575" y="3810000"/>
            <a:ext cx="0" cy="0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sp macro="" textlink="">
        <xdr:nvSpPr>
          <xdr:cNvPr id="8" name="矩形 7"/>
          <xdr:cNvSpPr/>
        </xdr:nvSpPr>
        <xdr:spPr bwMode="auto">
          <a:xfrm>
            <a:off x="6615430" y="4938395"/>
            <a:ext cx="206375" cy="889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00FFFF" mc:Ignorable="a14" a14:legacySpreadsheetColorIndex="15"/>
          </a:solidFill>
          <a:ln w="38100" cap="flat" cmpd="sng" algn="ctr">
            <a:solidFill>
              <a:srgbClr xmlns:mc="http://schemas.openxmlformats.org/markup-compatibility/2006" xmlns:a14="http://schemas.microsoft.com/office/drawing/2010/main" val="00FFFF" mc:Ignorable="a14" a14:legacySpreadsheetColorIndex="15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pPr algn="l"/>
            <a:endParaRPr lang="zh-TW" altLang="en-US" sz="1100"/>
          </a:p>
        </xdr:txBody>
      </xdr:sp>
      <xdr:sp macro="" textlink="">
        <xdr:nvSpPr>
          <xdr:cNvPr id="9" name="矩形 8"/>
          <xdr:cNvSpPr/>
        </xdr:nvSpPr>
        <xdr:spPr bwMode="auto">
          <a:xfrm>
            <a:off x="6823075" y="4938395"/>
            <a:ext cx="381000" cy="889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ln w="38100" cap="flat" cmpd="sng" algn="ctr">
            <a:solidFill>
              <a:srgbClr xmlns:mc="http://schemas.openxmlformats.org/markup-compatibility/2006" xmlns:a14="http://schemas.microsoft.com/office/drawing/2010/main" val="0000FF" mc:Ignorable="a14" a14:legacySpreadsheetColorIndex="12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pPr algn="l"/>
            <a:endParaRPr lang="zh-TW" altLang="en-US" sz="1100"/>
          </a:p>
        </xdr:txBody>
      </xdr:sp>
      <xdr:sp macro="" textlink="">
        <xdr:nvSpPr>
          <xdr:cNvPr id="14" name="矩形 13"/>
          <xdr:cNvSpPr/>
        </xdr:nvSpPr>
        <xdr:spPr bwMode="auto">
          <a:xfrm>
            <a:off x="7383463" y="4938395"/>
            <a:ext cx="8890" cy="3810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ln w="38100" cap="flat" cmpd="sng" algn="ctr">
            <a:solidFill>
              <a:srgbClr xmlns:mc="http://schemas.openxmlformats.org/markup-compatibility/2006" xmlns:a14="http://schemas.microsoft.com/office/drawing/2010/main" val="0000FF" mc:Ignorable="a14" a14:legacySpreadsheetColorIndex="12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pPr algn="l"/>
            <a:endParaRPr lang="zh-TW" altLang="en-US" sz="1100"/>
          </a:p>
        </xdr:txBody>
      </xdr:sp>
      <xdr:sp macro="" textlink="">
        <xdr:nvSpPr>
          <xdr:cNvPr id="17" name="矩形 16"/>
          <xdr:cNvSpPr/>
        </xdr:nvSpPr>
        <xdr:spPr bwMode="auto">
          <a:xfrm>
            <a:off x="7393622" y="4938395"/>
            <a:ext cx="8891" cy="5080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6600" mc:Ignorable="a14" a14:legacySpreadsheetColorIndex="53"/>
          </a:solidFill>
          <a:ln w="38100" cap="flat" cmpd="sng" algn="ctr">
            <a:solidFill>
              <a:srgbClr xmlns:mc="http://schemas.openxmlformats.org/markup-compatibility/2006" xmlns:a14="http://schemas.microsoft.com/office/drawing/2010/main" val="FF6600" mc:Ignorable="a14" a14:legacySpreadsheetColorIndex="53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pPr algn="l"/>
            <a:endParaRPr lang="zh-TW" altLang="en-US" sz="1100"/>
          </a:p>
        </xdr:txBody>
      </xdr:sp>
      <xdr:sp macro="" textlink="">
        <xdr:nvSpPr>
          <xdr:cNvPr id="18" name="矩形 17"/>
          <xdr:cNvSpPr/>
        </xdr:nvSpPr>
        <xdr:spPr bwMode="auto">
          <a:xfrm>
            <a:off x="6759575" y="4948555"/>
            <a:ext cx="508000" cy="889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6600" mc:Ignorable="a14" a14:legacySpreadsheetColorIndex="53"/>
          </a:solidFill>
          <a:ln w="38100" cap="flat" cmpd="sng" algn="ctr">
            <a:solidFill>
              <a:srgbClr xmlns:mc="http://schemas.openxmlformats.org/markup-compatibility/2006" xmlns:a14="http://schemas.microsoft.com/office/drawing/2010/main" val="FF6600" mc:Ignorable="a14" a14:legacySpreadsheetColorIndex="53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pPr algn="l"/>
            <a:endParaRPr lang="zh-TW" altLang="en-US" sz="1100"/>
          </a:p>
        </xdr:txBody>
      </xdr:sp>
      <xdr:sp macro="" textlink="">
        <xdr:nvSpPr>
          <xdr:cNvPr id="19" name="矩形 18"/>
          <xdr:cNvSpPr/>
        </xdr:nvSpPr>
        <xdr:spPr bwMode="auto">
          <a:xfrm>
            <a:off x="6759575" y="4969510"/>
            <a:ext cx="508000" cy="889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6600" mc:Ignorable="a14" a14:legacySpreadsheetColorIndex="53"/>
          </a:solidFill>
          <a:ln w="38100" cap="flat" cmpd="sng" algn="ctr">
            <a:solidFill>
              <a:srgbClr xmlns:mc="http://schemas.openxmlformats.org/markup-compatibility/2006" xmlns:a14="http://schemas.microsoft.com/office/drawing/2010/main" val="FF6600" mc:Ignorable="a14" a14:legacySpreadsheetColorIndex="53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pPr algn="l"/>
            <a:endParaRPr lang="zh-TW" altLang="en-US" sz="1100"/>
          </a:p>
        </xdr:txBody>
      </xdr:sp>
      <xdr:sp macro="" textlink="">
        <xdr:nvSpPr>
          <xdr:cNvPr id="20" name="矩形 19"/>
          <xdr:cNvSpPr/>
        </xdr:nvSpPr>
        <xdr:spPr bwMode="auto">
          <a:xfrm>
            <a:off x="7414578" y="4938395"/>
            <a:ext cx="8890" cy="5080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6600" mc:Ignorable="a14" a14:legacySpreadsheetColorIndex="53"/>
          </a:solidFill>
          <a:ln w="38100" cap="flat" cmpd="sng" algn="ctr">
            <a:solidFill>
              <a:srgbClr xmlns:mc="http://schemas.openxmlformats.org/markup-compatibility/2006" xmlns:a14="http://schemas.microsoft.com/office/drawing/2010/main" val="FF6600" mc:Ignorable="a14" a14:legacySpreadsheetColorIndex="53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pPr algn="l"/>
            <a:endParaRPr lang="zh-TW" altLang="en-US" sz="1100"/>
          </a:p>
        </xdr:txBody>
      </xdr:sp>
      <xdr:sp macro="" textlink="">
        <xdr:nvSpPr>
          <xdr:cNvPr id="21" name="矩形 20"/>
          <xdr:cNvSpPr/>
        </xdr:nvSpPr>
        <xdr:spPr bwMode="auto">
          <a:xfrm>
            <a:off x="6759575" y="4958715"/>
            <a:ext cx="508000" cy="889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99CC00" mc:Ignorable="a14" a14:legacySpreadsheetColorIndex="50"/>
          </a:solidFill>
          <a:ln w="38100" cap="flat" cmpd="sng" algn="ctr">
            <a:solidFill>
              <a:srgbClr xmlns:mc="http://schemas.openxmlformats.org/markup-compatibility/2006" xmlns:a14="http://schemas.microsoft.com/office/drawing/2010/main" val="99CC00" mc:Ignorable="a14" a14:legacySpreadsheetColorIndex="5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pPr algn="l"/>
            <a:endParaRPr lang="zh-TW" altLang="en-US" sz="1100"/>
          </a:p>
        </xdr:txBody>
      </xdr:sp>
      <xdr:sp macro="" textlink="">
        <xdr:nvSpPr>
          <xdr:cNvPr id="22" name="矩形 21"/>
          <xdr:cNvSpPr/>
        </xdr:nvSpPr>
        <xdr:spPr bwMode="auto">
          <a:xfrm>
            <a:off x="7403782" y="4938395"/>
            <a:ext cx="8890" cy="5080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99CC00" mc:Ignorable="a14" a14:legacySpreadsheetColorIndex="50"/>
          </a:solidFill>
          <a:ln w="38100" cap="flat" cmpd="sng" algn="ctr">
            <a:solidFill>
              <a:srgbClr xmlns:mc="http://schemas.openxmlformats.org/markup-compatibility/2006" xmlns:a14="http://schemas.microsoft.com/office/drawing/2010/main" val="99CC00" mc:Ignorable="a14" a14:legacySpreadsheetColorIndex="5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pPr algn="l"/>
            <a:endParaRPr lang="zh-TW" altLang="en-US" sz="1100"/>
          </a:p>
        </xdr:txBody>
      </xdr:sp>
      <xdr:sp macro="" textlink="">
        <xdr:nvSpPr>
          <xdr:cNvPr id="24" name="矩形 23"/>
          <xdr:cNvSpPr/>
        </xdr:nvSpPr>
        <xdr:spPr bwMode="auto">
          <a:xfrm>
            <a:off x="8741728" y="5056822"/>
            <a:ext cx="8890" cy="3810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800080" mc:Ignorable="a14" a14:legacySpreadsheetColorIndex="20"/>
          </a:solidFill>
          <a:ln w="38100" cap="flat" cmpd="sng" algn="ctr">
            <a:solidFill>
              <a:srgbClr xmlns:mc="http://schemas.openxmlformats.org/markup-compatibility/2006" xmlns:a14="http://schemas.microsoft.com/office/drawing/2010/main" val="800080" mc:Ignorable="a14" a14:legacySpreadsheetColorIndex="2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pPr algn="l"/>
            <a:endParaRPr lang="zh-TW" altLang="en-US" sz="1100"/>
          </a:p>
        </xdr:txBody>
      </xdr:sp>
      <xdr:sp macro="" textlink="">
        <xdr:nvSpPr>
          <xdr:cNvPr id="25" name="矩形 24"/>
          <xdr:cNvSpPr/>
        </xdr:nvSpPr>
        <xdr:spPr bwMode="auto">
          <a:xfrm>
            <a:off x="7982268" y="2222183"/>
            <a:ext cx="768350" cy="889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800080" mc:Ignorable="a14" a14:legacySpreadsheetColorIndex="20"/>
          </a:solidFill>
          <a:ln w="38100" cap="flat" cmpd="sng" algn="ctr">
            <a:solidFill>
              <a:srgbClr xmlns:mc="http://schemas.openxmlformats.org/markup-compatibility/2006" xmlns:a14="http://schemas.microsoft.com/office/drawing/2010/main" val="800080" mc:Ignorable="a14" a14:legacySpreadsheetColorIndex="2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pPr algn="l"/>
            <a:endParaRPr lang="zh-TW" altLang="en-US" sz="1100"/>
          </a:p>
        </xdr:txBody>
      </xdr:sp>
      <xdr:sp macro="" textlink="">
        <xdr:nvSpPr>
          <xdr:cNvPr id="26" name="矩形 25"/>
          <xdr:cNvSpPr/>
        </xdr:nvSpPr>
        <xdr:spPr bwMode="auto">
          <a:xfrm>
            <a:off x="5316379" y="3973195"/>
            <a:ext cx="8890" cy="889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00FF" mc:Ignorable="a14" a14:legacySpreadsheetColorIndex="14"/>
          </a:solidFill>
          <a:ln w="38100" cap="flat" cmpd="sng" algn="ctr">
            <a:solidFill>
              <a:srgbClr xmlns:mc="http://schemas.openxmlformats.org/markup-compatibility/2006" xmlns:a14="http://schemas.microsoft.com/office/drawing/2010/main" val="FF00FF" mc:Ignorable="a14" a14:legacySpreadsheetColorIndex="14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pPr algn="l"/>
            <a:endParaRPr lang="zh-TW" altLang="en-US" sz="1100"/>
          </a:p>
        </xdr:txBody>
      </xdr:sp>
      <xdr:sp macro="" textlink="">
        <xdr:nvSpPr>
          <xdr:cNvPr id="27" name="矩形 26"/>
          <xdr:cNvSpPr/>
        </xdr:nvSpPr>
        <xdr:spPr bwMode="auto">
          <a:xfrm>
            <a:off x="5316379" y="3637915"/>
            <a:ext cx="8890" cy="889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00FF" mc:Ignorable="a14" a14:legacySpreadsheetColorIndex="14"/>
          </a:solidFill>
          <a:ln w="38100" cap="flat" cmpd="sng" algn="ctr">
            <a:solidFill>
              <a:srgbClr xmlns:mc="http://schemas.openxmlformats.org/markup-compatibility/2006" xmlns:a14="http://schemas.microsoft.com/office/drawing/2010/main" val="FF00FF" mc:Ignorable="a14" a14:legacySpreadsheetColorIndex="14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pPr algn="l"/>
            <a:endParaRPr lang="zh-TW" altLang="en-US" sz="1100"/>
          </a:p>
        </xdr:txBody>
      </xdr:sp>
      <xdr:sp macro="" textlink="">
        <xdr:nvSpPr>
          <xdr:cNvPr id="28" name="矩形 27"/>
          <xdr:cNvSpPr/>
        </xdr:nvSpPr>
        <xdr:spPr bwMode="auto">
          <a:xfrm>
            <a:off x="7990681" y="5200650"/>
            <a:ext cx="8890" cy="889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00FF" mc:Ignorable="a14" a14:legacySpreadsheetColorIndex="14"/>
          </a:solidFill>
          <a:ln w="38100" cap="flat" cmpd="sng" algn="ctr">
            <a:solidFill>
              <a:srgbClr xmlns:mc="http://schemas.openxmlformats.org/markup-compatibility/2006" xmlns:a14="http://schemas.microsoft.com/office/drawing/2010/main" val="FF00FF" mc:Ignorable="a14" a14:legacySpreadsheetColorIndex="14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pPr algn="l"/>
            <a:endParaRPr lang="zh-TW" altLang="en-US" sz="1100"/>
          </a:p>
        </xdr:txBody>
      </xdr:sp>
      <xdr:sp macro="" textlink="">
        <xdr:nvSpPr>
          <xdr:cNvPr id="29" name="矩形 28"/>
          <xdr:cNvSpPr/>
        </xdr:nvSpPr>
        <xdr:spPr bwMode="auto">
          <a:xfrm>
            <a:off x="5316379" y="4140835"/>
            <a:ext cx="8890" cy="889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00FF" mc:Ignorable="a14" a14:legacySpreadsheetColorIndex="14"/>
          </a:solidFill>
          <a:ln w="38100" cap="flat" cmpd="sng" algn="ctr">
            <a:solidFill>
              <a:srgbClr xmlns:mc="http://schemas.openxmlformats.org/markup-compatibility/2006" xmlns:a14="http://schemas.microsoft.com/office/drawing/2010/main" val="FF00FF" mc:Ignorable="a14" a14:legacySpreadsheetColorIndex="14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pPr algn="l"/>
            <a:endParaRPr lang="zh-TW" altLang="en-US" sz="1100"/>
          </a:p>
        </xdr:txBody>
      </xdr:sp>
      <xdr:sp macro="" textlink="">
        <xdr:nvSpPr>
          <xdr:cNvPr id="30" name="矩形 29"/>
          <xdr:cNvSpPr/>
        </xdr:nvSpPr>
        <xdr:spPr bwMode="auto">
          <a:xfrm>
            <a:off x="5316379" y="3470275"/>
            <a:ext cx="8890" cy="889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00FF" mc:Ignorable="a14" a14:legacySpreadsheetColorIndex="14"/>
          </a:solidFill>
          <a:ln w="38100" cap="flat" cmpd="sng" algn="ctr">
            <a:solidFill>
              <a:srgbClr xmlns:mc="http://schemas.openxmlformats.org/markup-compatibility/2006" xmlns:a14="http://schemas.microsoft.com/office/drawing/2010/main" val="FF00FF" mc:Ignorable="a14" a14:legacySpreadsheetColorIndex="14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pPr algn="l"/>
            <a:endParaRPr lang="zh-TW" altLang="en-US" sz="1100"/>
          </a:p>
        </xdr:txBody>
      </xdr:sp>
      <xdr:sp macro="" textlink="">
        <xdr:nvSpPr>
          <xdr:cNvPr id="31" name="矩形 30"/>
          <xdr:cNvSpPr/>
        </xdr:nvSpPr>
        <xdr:spPr bwMode="auto">
          <a:xfrm>
            <a:off x="7888288" y="2285683"/>
            <a:ext cx="8890" cy="889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00FF" mc:Ignorable="a14" a14:legacySpreadsheetColorIndex="14"/>
          </a:solidFill>
          <a:ln w="38100" cap="flat" cmpd="sng" algn="ctr">
            <a:solidFill>
              <a:srgbClr xmlns:mc="http://schemas.openxmlformats.org/markup-compatibility/2006" xmlns:a14="http://schemas.microsoft.com/office/drawing/2010/main" val="FF00FF" mc:Ignorable="a14" a14:legacySpreadsheetColorIndex="14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pPr algn="l"/>
            <a:endParaRPr lang="zh-TW" altLang="en-US" sz="1100"/>
          </a:p>
        </xdr:txBody>
      </xdr:sp>
      <xdr:sp macro="" textlink="">
        <xdr:nvSpPr>
          <xdr:cNvPr id="101504" name="矩形 101503"/>
          <xdr:cNvSpPr/>
        </xdr:nvSpPr>
        <xdr:spPr bwMode="auto">
          <a:xfrm>
            <a:off x="5316379" y="4308475"/>
            <a:ext cx="8890" cy="889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00FF" mc:Ignorable="a14" a14:legacySpreadsheetColorIndex="14"/>
          </a:solidFill>
          <a:ln w="38100" cap="flat" cmpd="sng" algn="ctr">
            <a:solidFill>
              <a:srgbClr xmlns:mc="http://schemas.openxmlformats.org/markup-compatibility/2006" xmlns:a14="http://schemas.microsoft.com/office/drawing/2010/main" val="FF00FF" mc:Ignorable="a14" a14:legacySpreadsheetColorIndex="14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pPr algn="l"/>
            <a:endParaRPr lang="zh-TW" altLang="en-US" sz="1100"/>
          </a:p>
        </xdr:txBody>
      </xdr:sp>
      <xdr:sp macro="" textlink="">
        <xdr:nvSpPr>
          <xdr:cNvPr id="101505" name="矩形 101504"/>
          <xdr:cNvSpPr/>
        </xdr:nvSpPr>
        <xdr:spPr bwMode="auto">
          <a:xfrm>
            <a:off x="7283450" y="4962525"/>
            <a:ext cx="8890" cy="889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00FF" mc:Ignorable="a14" a14:legacySpreadsheetColorIndex="14"/>
          </a:solidFill>
          <a:ln w="38100" cap="flat" cmpd="sng" algn="ctr">
            <a:solidFill>
              <a:srgbClr xmlns:mc="http://schemas.openxmlformats.org/markup-compatibility/2006" xmlns:a14="http://schemas.microsoft.com/office/drawing/2010/main" val="FF00FF" mc:Ignorable="a14" a14:legacySpreadsheetColorIndex="14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pPr algn="l"/>
            <a:endParaRPr lang="zh-TW" altLang="en-US" sz="1100"/>
          </a:p>
        </xdr:txBody>
      </xdr:sp>
      <xdr:sp macro="" textlink="">
        <xdr:nvSpPr>
          <xdr:cNvPr id="101506" name="矩形 101505"/>
          <xdr:cNvSpPr/>
        </xdr:nvSpPr>
        <xdr:spPr bwMode="auto">
          <a:xfrm>
            <a:off x="6725285" y="4963160"/>
            <a:ext cx="8890" cy="889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00FF" mc:Ignorable="a14" a14:legacySpreadsheetColorIndex="14"/>
          </a:solidFill>
          <a:ln w="38100" cap="flat" cmpd="sng" algn="ctr">
            <a:solidFill>
              <a:srgbClr xmlns:mc="http://schemas.openxmlformats.org/markup-compatibility/2006" xmlns:a14="http://schemas.microsoft.com/office/drawing/2010/main" val="FF00FF" mc:Ignorable="a14" a14:legacySpreadsheetColorIndex="14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pPr algn="l"/>
            <a:endParaRPr lang="zh-TW" altLang="en-US" sz="1100"/>
          </a:p>
        </xdr:txBody>
      </xdr:sp>
      <xdr:sp macro="" textlink="">
        <xdr:nvSpPr>
          <xdr:cNvPr id="101507" name="矩形 101506"/>
          <xdr:cNvSpPr/>
        </xdr:nvSpPr>
        <xdr:spPr bwMode="auto">
          <a:xfrm>
            <a:off x="7009130" y="5013325"/>
            <a:ext cx="8890" cy="889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00FF" mc:Ignorable="a14" a14:legacySpreadsheetColorIndex="14"/>
          </a:solidFill>
          <a:ln w="38100" cap="flat" cmpd="sng" algn="ctr">
            <a:solidFill>
              <a:srgbClr xmlns:mc="http://schemas.openxmlformats.org/markup-compatibility/2006" xmlns:a14="http://schemas.microsoft.com/office/drawing/2010/main" val="FF00FF" mc:Ignorable="a14" a14:legacySpreadsheetColorIndex="14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pPr algn="l"/>
            <a:endParaRPr lang="zh-TW" altLang="en-US" sz="1100"/>
          </a:p>
        </xdr:txBody>
      </xdr:sp>
      <xdr:sp macro="" textlink="">
        <xdr:nvSpPr>
          <xdr:cNvPr id="101508" name="矩形 101507"/>
          <xdr:cNvSpPr/>
        </xdr:nvSpPr>
        <xdr:spPr bwMode="auto">
          <a:xfrm>
            <a:off x="7454265" y="4937125"/>
            <a:ext cx="8890" cy="889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00FF" mc:Ignorable="a14" a14:legacySpreadsheetColorIndex="14"/>
          </a:solidFill>
          <a:ln w="38100" cap="flat" cmpd="sng" algn="ctr">
            <a:solidFill>
              <a:srgbClr xmlns:mc="http://schemas.openxmlformats.org/markup-compatibility/2006" xmlns:a14="http://schemas.microsoft.com/office/drawing/2010/main" val="FF00FF" mc:Ignorable="a14" a14:legacySpreadsheetColorIndex="14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pPr algn="l"/>
            <a:endParaRPr lang="zh-TW" altLang="en-US" sz="1100"/>
          </a:p>
        </xdr:txBody>
      </xdr:sp>
      <xdr:sp macro="" textlink="">
        <xdr:nvSpPr>
          <xdr:cNvPr id="101509" name="矩形 101508"/>
          <xdr:cNvSpPr/>
        </xdr:nvSpPr>
        <xdr:spPr bwMode="auto">
          <a:xfrm>
            <a:off x="7454265" y="5104765"/>
            <a:ext cx="8890" cy="889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00FF" mc:Ignorable="a14" a14:legacySpreadsheetColorIndex="14"/>
          </a:solidFill>
          <a:ln w="38100" cap="flat" cmpd="sng" algn="ctr">
            <a:solidFill>
              <a:srgbClr xmlns:mc="http://schemas.openxmlformats.org/markup-compatibility/2006" xmlns:a14="http://schemas.microsoft.com/office/drawing/2010/main" val="FF00FF" mc:Ignorable="a14" a14:legacySpreadsheetColorIndex="14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pPr algn="l"/>
            <a:endParaRPr lang="zh-TW" altLang="en-US" sz="1100"/>
          </a:p>
        </xdr:txBody>
      </xdr:sp>
      <xdr:sp macro="" textlink="">
        <xdr:nvSpPr>
          <xdr:cNvPr id="101510" name="矩形 101509"/>
          <xdr:cNvSpPr/>
        </xdr:nvSpPr>
        <xdr:spPr bwMode="auto">
          <a:xfrm>
            <a:off x="7439343" y="5272405"/>
            <a:ext cx="8890" cy="889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00FF" mc:Ignorable="a14" a14:legacySpreadsheetColorIndex="14"/>
          </a:solidFill>
          <a:ln w="38100" cap="flat" cmpd="sng" algn="ctr">
            <a:solidFill>
              <a:srgbClr xmlns:mc="http://schemas.openxmlformats.org/markup-compatibility/2006" xmlns:a14="http://schemas.microsoft.com/office/drawing/2010/main" val="FF00FF" mc:Ignorable="a14" a14:legacySpreadsheetColorIndex="14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pPr algn="l"/>
            <a:endParaRPr lang="zh-TW" altLang="en-US" sz="1100"/>
          </a:p>
        </xdr:txBody>
      </xdr:sp>
      <xdr:sp macro="" textlink="">
        <xdr:nvSpPr>
          <xdr:cNvPr id="101511" name="矩形 101510"/>
          <xdr:cNvSpPr/>
        </xdr:nvSpPr>
        <xdr:spPr bwMode="auto">
          <a:xfrm>
            <a:off x="7606982" y="5272405"/>
            <a:ext cx="8890" cy="889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00FF" mc:Ignorable="a14" a14:legacySpreadsheetColorIndex="14"/>
          </a:solidFill>
          <a:ln w="38100" cap="flat" cmpd="sng" algn="ctr">
            <a:solidFill>
              <a:srgbClr xmlns:mc="http://schemas.openxmlformats.org/markup-compatibility/2006" xmlns:a14="http://schemas.microsoft.com/office/drawing/2010/main" val="FF00FF" mc:Ignorable="a14" a14:legacySpreadsheetColorIndex="14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pPr algn="l"/>
            <a:endParaRPr lang="zh-TW" altLang="en-US" sz="1100"/>
          </a:p>
        </xdr:txBody>
      </xdr:sp>
      <xdr:sp macro="" textlink="">
        <xdr:nvSpPr>
          <xdr:cNvPr id="101512" name="矩形 101511"/>
          <xdr:cNvSpPr/>
        </xdr:nvSpPr>
        <xdr:spPr bwMode="auto">
          <a:xfrm>
            <a:off x="6129972" y="2378710"/>
            <a:ext cx="8891" cy="889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00FF" mc:Ignorable="a14" a14:legacySpreadsheetColorIndex="14"/>
          </a:solidFill>
          <a:ln w="38100" cap="flat" cmpd="sng" algn="ctr">
            <a:solidFill>
              <a:srgbClr xmlns:mc="http://schemas.openxmlformats.org/markup-compatibility/2006" xmlns:a14="http://schemas.microsoft.com/office/drawing/2010/main" val="FF00FF" mc:Ignorable="a14" a14:legacySpreadsheetColorIndex="14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pPr algn="l"/>
            <a:endParaRPr lang="zh-TW" altLang="en-US" sz="1100"/>
          </a:p>
        </xdr:txBody>
      </xdr:sp>
      <xdr:sp macro="" textlink="">
        <xdr:nvSpPr>
          <xdr:cNvPr id="101513" name="矩形 101512"/>
          <xdr:cNvSpPr/>
        </xdr:nvSpPr>
        <xdr:spPr bwMode="auto">
          <a:xfrm>
            <a:off x="5316379" y="3805555"/>
            <a:ext cx="8890" cy="889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00FF" mc:Ignorable="a14" a14:legacySpreadsheetColorIndex="14"/>
          </a:solidFill>
          <a:ln w="38100" cap="flat" cmpd="sng" algn="ctr">
            <a:solidFill>
              <a:srgbClr xmlns:mc="http://schemas.openxmlformats.org/markup-compatibility/2006" xmlns:a14="http://schemas.microsoft.com/office/drawing/2010/main" val="FF00FF" mc:Ignorable="a14" a14:legacySpreadsheetColorIndex="14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pPr algn="l"/>
            <a:endParaRPr lang="zh-TW" altLang="en-US" sz="1100"/>
          </a:p>
        </xdr:txBody>
      </xdr:sp>
      <xdr:sp macro="" textlink="">
        <xdr:nvSpPr>
          <xdr:cNvPr id="101514" name="矩形 101513"/>
          <xdr:cNvSpPr/>
        </xdr:nvSpPr>
        <xdr:spPr bwMode="auto">
          <a:xfrm>
            <a:off x="8752681" y="2166620"/>
            <a:ext cx="7938" cy="952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969696" mc:Ignorable="a14" a14:legacySpreadsheetColorIndex="55"/>
          </a:solidFill>
          <a:ln w="38100" cap="flat" cmpd="sng" algn="ctr">
            <a:solidFill>
              <a:srgbClr xmlns:mc="http://schemas.openxmlformats.org/markup-compatibility/2006" xmlns:a14="http://schemas.microsoft.com/office/drawing/2010/main" val="969696" mc:Ignorable="a14" a14:legacySpreadsheetColorIndex="55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pPr algn="l"/>
            <a:endParaRPr lang="zh-TW" altLang="en-US" sz="1100"/>
          </a:p>
        </xdr:txBody>
      </xdr:sp>
      <xdr:sp macro="" textlink="">
        <xdr:nvSpPr>
          <xdr:cNvPr id="101515" name="矩形 101514"/>
          <xdr:cNvSpPr/>
        </xdr:nvSpPr>
        <xdr:spPr bwMode="auto">
          <a:xfrm>
            <a:off x="8741093" y="2156619"/>
            <a:ext cx="9525" cy="7937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969696" mc:Ignorable="a14" a14:legacySpreadsheetColorIndex="55"/>
          </a:solidFill>
          <a:ln w="38100" cap="flat" cmpd="sng" algn="ctr">
            <a:solidFill>
              <a:srgbClr xmlns:mc="http://schemas.openxmlformats.org/markup-compatibility/2006" xmlns:a14="http://schemas.microsoft.com/office/drawing/2010/main" val="969696" mc:Ignorable="a14" a14:legacySpreadsheetColorIndex="55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pPr algn="l"/>
            <a:endParaRPr lang="zh-TW" altLang="en-US" sz="1100"/>
          </a:p>
        </xdr:txBody>
      </xdr:sp>
      <xdr:sp macro="" textlink="">
        <xdr:nvSpPr>
          <xdr:cNvPr id="101516" name="矩形 101515"/>
          <xdr:cNvSpPr/>
        </xdr:nvSpPr>
        <xdr:spPr bwMode="auto">
          <a:xfrm>
            <a:off x="8752681" y="5443855"/>
            <a:ext cx="7938" cy="952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969696" mc:Ignorable="a14" a14:legacySpreadsheetColorIndex="55"/>
          </a:solidFill>
          <a:ln w="38100" cap="flat" cmpd="sng" algn="ctr">
            <a:solidFill>
              <a:srgbClr xmlns:mc="http://schemas.openxmlformats.org/markup-compatibility/2006" xmlns:a14="http://schemas.microsoft.com/office/drawing/2010/main" val="969696" mc:Ignorable="a14" a14:legacySpreadsheetColorIndex="55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pPr algn="l"/>
            <a:endParaRPr lang="zh-TW" altLang="en-US" sz="1100"/>
          </a:p>
        </xdr:txBody>
      </xdr:sp>
      <xdr:sp macro="" textlink="">
        <xdr:nvSpPr>
          <xdr:cNvPr id="101517" name="矩形 101516"/>
          <xdr:cNvSpPr/>
        </xdr:nvSpPr>
        <xdr:spPr bwMode="auto">
          <a:xfrm>
            <a:off x="5276533" y="2156619"/>
            <a:ext cx="9525" cy="7937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969696" mc:Ignorable="a14" a14:legacySpreadsheetColorIndex="55"/>
          </a:solidFill>
          <a:ln w="38100" cap="flat" cmpd="sng" algn="ctr">
            <a:solidFill>
              <a:srgbClr xmlns:mc="http://schemas.openxmlformats.org/markup-compatibility/2006" xmlns:a14="http://schemas.microsoft.com/office/drawing/2010/main" val="969696" mc:Ignorable="a14" a14:legacySpreadsheetColorIndex="55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pPr algn="l"/>
            <a:endParaRPr lang="zh-TW" altLang="en-US" sz="1100"/>
          </a:p>
        </xdr:txBody>
      </xdr:sp>
      <xdr:sp macro="" textlink="">
        <xdr:nvSpPr>
          <xdr:cNvPr id="101518" name="矩形 101517"/>
          <xdr:cNvSpPr/>
        </xdr:nvSpPr>
        <xdr:spPr bwMode="auto">
          <a:xfrm>
            <a:off x="8730297" y="2156619"/>
            <a:ext cx="9525" cy="7937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969696" mc:Ignorable="a14" a14:legacySpreadsheetColorIndex="55"/>
          </a:solidFill>
          <a:ln w="38100" cap="flat" cmpd="sng" algn="ctr">
            <a:solidFill>
              <a:srgbClr xmlns:mc="http://schemas.openxmlformats.org/markup-compatibility/2006" xmlns:a14="http://schemas.microsoft.com/office/drawing/2010/main" val="969696" mc:Ignorable="a14" a14:legacySpreadsheetColorIndex="55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pPr algn="l"/>
            <a:endParaRPr lang="zh-TW" altLang="en-US" sz="1100"/>
          </a:p>
        </xdr:txBody>
      </xdr:sp>
      <xdr:sp macro="" textlink="">
        <xdr:nvSpPr>
          <xdr:cNvPr id="101519" name="矩形 101518"/>
          <xdr:cNvSpPr/>
        </xdr:nvSpPr>
        <xdr:spPr bwMode="auto">
          <a:xfrm>
            <a:off x="5287328" y="2156619"/>
            <a:ext cx="9525" cy="7937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969696" mc:Ignorable="a14" a14:legacySpreadsheetColorIndex="55"/>
          </a:solidFill>
          <a:ln w="38100" cap="flat" cmpd="sng" algn="ctr">
            <a:solidFill>
              <a:srgbClr xmlns:mc="http://schemas.openxmlformats.org/markup-compatibility/2006" xmlns:a14="http://schemas.microsoft.com/office/drawing/2010/main" val="969696" mc:Ignorable="a14" a14:legacySpreadsheetColorIndex="55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pPr algn="l"/>
            <a:endParaRPr lang="zh-TW" altLang="en-US" sz="1100"/>
          </a:p>
        </xdr:txBody>
      </xdr:sp>
      <xdr:sp macro="" textlink="">
        <xdr:nvSpPr>
          <xdr:cNvPr id="101520" name="矩形 101519"/>
          <xdr:cNvSpPr/>
        </xdr:nvSpPr>
        <xdr:spPr bwMode="auto">
          <a:xfrm>
            <a:off x="8752681" y="5433060"/>
            <a:ext cx="7938" cy="952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969696" mc:Ignorable="a14" a14:legacySpreadsheetColorIndex="55"/>
          </a:solidFill>
          <a:ln w="38100" cap="flat" cmpd="sng" algn="ctr">
            <a:solidFill>
              <a:srgbClr xmlns:mc="http://schemas.openxmlformats.org/markup-compatibility/2006" xmlns:a14="http://schemas.microsoft.com/office/drawing/2010/main" val="969696" mc:Ignorable="a14" a14:legacySpreadsheetColorIndex="55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pPr algn="l"/>
            <a:endParaRPr lang="zh-TW" altLang="en-US" sz="1100"/>
          </a:p>
        </xdr:txBody>
      </xdr:sp>
      <xdr:sp macro="" textlink="">
        <xdr:nvSpPr>
          <xdr:cNvPr id="101521" name="矩形 101520"/>
          <xdr:cNvSpPr/>
        </xdr:nvSpPr>
        <xdr:spPr bwMode="auto">
          <a:xfrm>
            <a:off x="8752681" y="2177415"/>
            <a:ext cx="7938" cy="952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969696" mc:Ignorable="a14" a14:legacySpreadsheetColorIndex="55"/>
          </a:solidFill>
          <a:ln w="38100" cap="flat" cmpd="sng" algn="ctr">
            <a:solidFill>
              <a:srgbClr xmlns:mc="http://schemas.openxmlformats.org/markup-compatibility/2006" xmlns:a14="http://schemas.microsoft.com/office/drawing/2010/main" val="969696" mc:Ignorable="a14" a14:legacySpreadsheetColorIndex="55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pPr algn="l"/>
            <a:endParaRPr lang="zh-TW" altLang="en-US" sz="1100"/>
          </a:p>
        </xdr:txBody>
      </xdr:sp>
      <xdr:sp macro="" textlink="">
        <xdr:nvSpPr>
          <xdr:cNvPr id="101522" name="矩形 101521"/>
          <xdr:cNvSpPr/>
        </xdr:nvSpPr>
        <xdr:spPr bwMode="auto">
          <a:xfrm>
            <a:off x="5298122" y="2156619"/>
            <a:ext cx="9525" cy="7937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969696" mc:Ignorable="a14" a14:legacySpreadsheetColorIndex="55"/>
          </a:solidFill>
          <a:ln w="38100" cap="flat" cmpd="sng" algn="ctr">
            <a:solidFill>
              <a:srgbClr xmlns:mc="http://schemas.openxmlformats.org/markup-compatibility/2006" xmlns:a14="http://schemas.microsoft.com/office/drawing/2010/main" val="969696" mc:Ignorable="a14" a14:legacySpreadsheetColorIndex="55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pPr algn="l"/>
            <a:endParaRPr lang="zh-TW" altLang="en-US" sz="1100"/>
          </a:p>
        </xdr:txBody>
      </xdr:sp>
      <xdr:sp macro="" textlink="">
        <xdr:nvSpPr>
          <xdr:cNvPr id="101523" name="矩形 101522"/>
          <xdr:cNvSpPr/>
        </xdr:nvSpPr>
        <xdr:spPr bwMode="auto">
          <a:xfrm>
            <a:off x="8719503" y="2156619"/>
            <a:ext cx="9525" cy="7937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969696" mc:Ignorable="a14" a14:legacySpreadsheetColorIndex="55"/>
          </a:solidFill>
          <a:ln w="38100" cap="flat" cmpd="sng" algn="ctr">
            <a:solidFill>
              <a:srgbClr xmlns:mc="http://schemas.openxmlformats.org/markup-compatibility/2006" xmlns:a14="http://schemas.microsoft.com/office/drawing/2010/main" val="969696" mc:Ignorable="a14" a14:legacySpreadsheetColorIndex="55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pPr algn="l"/>
            <a:endParaRPr lang="zh-TW" altLang="en-US" sz="1100"/>
          </a:p>
        </xdr:txBody>
      </xdr:sp>
      <xdr:sp macro="" textlink="">
        <xdr:nvSpPr>
          <xdr:cNvPr id="101524" name="矩形 101523"/>
          <xdr:cNvSpPr/>
        </xdr:nvSpPr>
        <xdr:spPr bwMode="auto">
          <a:xfrm>
            <a:off x="8752681" y="5422265"/>
            <a:ext cx="7938" cy="952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969696" mc:Ignorable="a14" a14:legacySpreadsheetColorIndex="55"/>
          </a:solidFill>
          <a:ln w="38100" cap="flat" cmpd="sng" algn="ctr">
            <a:solidFill>
              <a:srgbClr xmlns:mc="http://schemas.openxmlformats.org/markup-compatibility/2006" xmlns:a14="http://schemas.microsoft.com/office/drawing/2010/main" val="969696" mc:Ignorable="a14" a14:legacySpreadsheetColorIndex="55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pPr algn="l"/>
            <a:endParaRPr lang="zh-TW" altLang="en-US" sz="1100"/>
          </a:p>
        </xdr:txBody>
      </xdr:sp>
      <xdr:sp macro="" textlink="">
        <xdr:nvSpPr>
          <xdr:cNvPr id="101525" name="矩形 101524"/>
          <xdr:cNvSpPr/>
        </xdr:nvSpPr>
        <xdr:spPr bwMode="auto">
          <a:xfrm>
            <a:off x="8752681" y="2188210"/>
            <a:ext cx="7938" cy="952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969696" mc:Ignorable="a14" a14:legacySpreadsheetColorIndex="55"/>
          </a:solidFill>
          <a:ln w="38100" cap="flat" cmpd="sng" algn="ctr">
            <a:solidFill>
              <a:srgbClr xmlns:mc="http://schemas.openxmlformats.org/markup-compatibility/2006" xmlns:a14="http://schemas.microsoft.com/office/drawing/2010/main" val="969696" mc:Ignorable="a14" a14:legacySpreadsheetColorIndex="55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pPr algn="l"/>
            <a:endParaRPr lang="zh-TW" altLang="en-US" sz="1100"/>
          </a:p>
        </xdr:txBody>
      </xdr:sp>
      <xdr:sp macro="" textlink="">
        <xdr:nvSpPr>
          <xdr:cNvPr id="101526" name="矩形 101525"/>
          <xdr:cNvSpPr/>
        </xdr:nvSpPr>
        <xdr:spPr bwMode="auto">
          <a:xfrm>
            <a:off x="8708707" y="2156619"/>
            <a:ext cx="9525" cy="7937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969696" mc:Ignorable="a14" a14:legacySpreadsheetColorIndex="55"/>
          </a:solidFill>
          <a:ln w="38100" cap="flat" cmpd="sng" algn="ctr">
            <a:solidFill>
              <a:srgbClr xmlns:mc="http://schemas.openxmlformats.org/markup-compatibility/2006" xmlns:a14="http://schemas.microsoft.com/office/drawing/2010/main" val="969696" mc:Ignorable="a14" a14:legacySpreadsheetColorIndex="55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pPr algn="l"/>
            <a:endParaRPr lang="zh-TW" altLang="en-US" sz="1100"/>
          </a:p>
        </xdr:txBody>
      </xdr:sp>
      <xdr:sp macro="" textlink="">
        <xdr:nvSpPr>
          <xdr:cNvPr id="101527" name="矩形 101526"/>
          <xdr:cNvSpPr/>
        </xdr:nvSpPr>
        <xdr:spPr bwMode="auto">
          <a:xfrm>
            <a:off x="8752681" y="5411470"/>
            <a:ext cx="7938" cy="952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969696" mc:Ignorable="a14" a14:legacySpreadsheetColorIndex="55"/>
          </a:solidFill>
          <a:ln w="38100" cap="flat" cmpd="sng" algn="ctr">
            <a:solidFill>
              <a:srgbClr xmlns:mc="http://schemas.openxmlformats.org/markup-compatibility/2006" xmlns:a14="http://schemas.microsoft.com/office/drawing/2010/main" val="969696" mc:Ignorable="a14" a14:legacySpreadsheetColorIndex="55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pPr algn="l"/>
            <a:endParaRPr lang="zh-TW" altLang="en-US" sz="1100"/>
          </a:p>
        </xdr:txBody>
      </xdr:sp>
      <xdr:sp macro="" textlink="">
        <xdr:nvSpPr>
          <xdr:cNvPr id="101528" name="矩形 101527"/>
          <xdr:cNvSpPr/>
        </xdr:nvSpPr>
        <xdr:spPr bwMode="auto">
          <a:xfrm>
            <a:off x="5308917" y="2156619"/>
            <a:ext cx="9525" cy="7937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969696" mc:Ignorable="a14" a14:legacySpreadsheetColorIndex="55"/>
          </a:solidFill>
          <a:ln w="38100" cap="flat" cmpd="sng" algn="ctr">
            <a:solidFill>
              <a:srgbClr xmlns:mc="http://schemas.openxmlformats.org/markup-compatibility/2006" xmlns:a14="http://schemas.microsoft.com/office/drawing/2010/main" val="969696" mc:Ignorable="a14" a14:legacySpreadsheetColorIndex="55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pPr algn="l"/>
            <a:endParaRPr lang="zh-TW" altLang="en-US" sz="1100"/>
          </a:p>
        </xdr:txBody>
      </xdr:sp>
      <xdr:sp macro="" textlink="">
        <xdr:nvSpPr>
          <xdr:cNvPr id="101529" name="矩形 101528"/>
          <xdr:cNvSpPr/>
        </xdr:nvSpPr>
        <xdr:spPr bwMode="auto">
          <a:xfrm>
            <a:off x="8752681" y="2199005"/>
            <a:ext cx="7938" cy="952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969696" mc:Ignorable="a14" a14:legacySpreadsheetColorIndex="55"/>
          </a:solidFill>
          <a:ln w="38100" cap="flat" cmpd="sng" algn="ctr">
            <a:solidFill>
              <a:srgbClr xmlns:mc="http://schemas.openxmlformats.org/markup-compatibility/2006" xmlns:a14="http://schemas.microsoft.com/office/drawing/2010/main" val="969696" mc:Ignorable="a14" a14:legacySpreadsheetColorIndex="55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pPr algn="l"/>
            <a:endParaRPr lang="zh-TW" altLang="en-US" sz="1100"/>
          </a:p>
        </xdr:txBody>
      </xdr:sp>
      <xdr:sp macro="" textlink="">
        <xdr:nvSpPr>
          <xdr:cNvPr id="101530" name="矩形 101529"/>
          <xdr:cNvSpPr/>
        </xdr:nvSpPr>
        <xdr:spPr bwMode="auto">
          <a:xfrm>
            <a:off x="8741093" y="5455444"/>
            <a:ext cx="9525" cy="7937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969696" mc:Ignorable="a14" a14:legacySpreadsheetColorIndex="55"/>
          </a:solidFill>
          <a:ln w="38100" cap="flat" cmpd="sng" algn="ctr">
            <a:solidFill>
              <a:srgbClr xmlns:mc="http://schemas.openxmlformats.org/markup-compatibility/2006" xmlns:a14="http://schemas.microsoft.com/office/drawing/2010/main" val="969696" mc:Ignorable="a14" a14:legacySpreadsheetColorIndex="55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pPr algn="l"/>
            <a:endParaRPr lang="zh-TW" altLang="en-US" sz="1100"/>
          </a:p>
        </xdr:txBody>
      </xdr:sp>
      <xdr:sp macro="" textlink="">
        <xdr:nvSpPr>
          <xdr:cNvPr id="101531" name="矩形 101530"/>
          <xdr:cNvSpPr/>
        </xdr:nvSpPr>
        <xdr:spPr bwMode="auto">
          <a:xfrm>
            <a:off x="5266531" y="2166620"/>
            <a:ext cx="7938" cy="952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969696" mc:Ignorable="a14" a14:legacySpreadsheetColorIndex="55"/>
          </a:solidFill>
          <a:ln w="38100" cap="flat" cmpd="sng" algn="ctr">
            <a:solidFill>
              <a:srgbClr xmlns:mc="http://schemas.openxmlformats.org/markup-compatibility/2006" xmlns:a14="http://schemas.microsoft.com/office/drawing/2010/main" val="969696" mc:Ignorable="a14" a14:legacySpreadsheetColorIndex="55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pPr algn="l"/>
            <a:endParaRPr lang="zh-TW" altLang="en-US" sz="1100"/>
          </a:p>
        </xdr:txBody>
      </xdr:sp>
      <xdr:sp macro="" textlink="">
        <xdr:nvSpPr>
          <xdr:cNvPr id="101532" name="矩形 101531"/>
          <xdr:cNvSpPr/>
        </xdr:nvSpPr>
        <xdr:spPr bwMode="auto">
          <a:xfrm>
            <a:off x="5276533" y="5455444"/>
            <a:ext cx="9525" cy="7937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969696" mc:Ignorable="a14" a14:legacySpreadsheetColorIndex="55"/>
          </a:solidFill>
          <a:ln w="38100" cap="flat" cmpd="sng" algn="ctr">
            <a:solidFill>
              <a:srgbClr xmlns:mc="http://schemas.openxmlformats.org/markup-compatibility/2006" xmlns:a14="http://schemas.microsoft.com/office/drawing/2010/main" val="969696" mc:Ignorable="a14" a14:legacySpreadsheetColorIndex="55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pPr algn="l"/>
            <a:endParaRPr lang="zh-TW" altLang="en-US" sz="1100"/>
          </a:p>
        </xdr:txBody>
      </xdr:sp>
      <xdr:sp macro="" textlink="">
        <xdr:nvSpPr>
          <xdr:cNvPr id="101542" name="矩形 101541"/>
          <xdr:cNvSpPr/>
        </xdr:nvSpPr>
        <xdr:spPr bwMode="auto">
          <a:xfrm>
            <a:off x="5266531" y="5443855"/>
            <a:ext cx="7938" cy="952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969696" mc:Ignorable="a14" a14:legacySpreadsheetColorIndex="55"/>
          </a:solidFill>
          <a:ln w="38100" cap="flat" cmpd="sng" algn="ctr">
            <a:solidFill>
              <a:srgbClr xmlns:mc="http://schemas.openxmlformats.org/markup-compatibility/2006" xmlns:a14="http://schemas.microsoft.com/office/drawing/2010/main" val="969696" mc:Ignorable="a14" a14:legacySpreadsheetColorIndex="55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pPr algn="l"/>
            <a:endParaRPr lang="zh-TW" altLang="en-US" sz="1100"/>
          </a:p>
        </xdr:txBody>
      </xdr:sp>
      <xdr:sp macro="" textlink="">
        <xdr:nvSpPr>
          <xdr:cNvPr id="101543" name="矩形 101542"/>
          <xdr:cNvSpPr/>
        </xdr:nvSpPr>
        <xdr:spPr bwMode="auto">
          <a:xfrm>
            <a:off x="5287328" y="5455444"/>
            <a:ext cx="9525" cy="7937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969696" mc:Ignorable="a14" a14:legacySpreadsheetColorIndex="55"/>
          </a:solidFill>
          <a:ln w="38100" cap="flat" cmpd="sng" algn="ctr">
            <a:solidFill>
              <a:srgbClr xmlns:mc="http://schemas.openxmlformats.org/markup-compatibility/2006" xmlns:a14="http://schemas.microsoft.com/office/drawing/2010/main" val="969696" mc:Ignorable="a14" a14:legacySpreadsheetColorIndex="55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pPr algn="l"/>
            <a:endParaRPr lang="zh-TW" altLang="en-US" sz="1100"/>
          </a:p>
        </xdr:txBody>
      </xdr:sp>
      <xdr:sp macro="" textlink="">
        <xdr:nvSpPr>
          <xdr:cNvPr id="101544" name="矩形 101543"/>
          <xdr:cNvSpPr/>
        </xdr:nvSpPr>
        <xdr:spPr bwMode="auto">
          <a:xfrm>
            <a:off x="5266531" y="5433060"/>
            <a:ext cx="7938" cy="952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969696" mc:Ignorable="a14" a14:legacySpreadsheetColorIndex="55"/>
          </a:solidFill>
          <a:ln w="38100" cap="flat" cmpd="sng" algn="ctr">
            <a:solidFill>
              <a:srgbClr xmlns:mc="http://schemas.openxmlformats.org/markup-compatibility/2006" xmlns:a14="http://schemas.microsoft.com/office/drawing/2010/main" val="969696" mc:Ignorable="a14" a14:legacySpreadsheetColorIndex="55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pPr algn="l"/>
            <a:endParaRPr lang="zh-TW" altLang="en-US" sz="1100"/>
          </a:p>
        </xdr:txBody>
      </xdr:sp>
      <xdr:sp macro="" textlink="">
        <xdr:nvSpPr>
          <xdr:cNvPr id="101545" name="矩形 101544"/>
          <xdr:cNvSpPr/>
        </xdr:nvSpPr>
        <xdr:spPr bwMode="auto">
          <a:xfrm>
            <a:off x="8730297" y="5455444"/>
            <a:ext cx="9525" cy="7937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969696" mc:Ignorable="a14" a14:legacySpreadsheetColorIndex="55"/>
          </a:solidFill>
          <a:ln w="38100" cap="flat" cmpd="sng" algn="ctr">
            <a:solidFill>
              <a:srgbClr xmlns:mc="http://schemas.openxmlformats.org/markup-compatibility/2006" xmlns:a14="http://schemas.microsoft.com/office/drawing/2010/main" val="969696" mc:Ignorable="a14" a14:legacySpreadsheetColorIndex="55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pPr algn="l"/>
            <a:endParaRPr lang="zh-TW" altLang="en-US" sz="1100"/>
          </a:p>
        </xdr:txBody>
      </xdr:sp>
      <xdr:sp macro="" textlink="">
        <xdr:nvSpPr>
          <xdr:cNvPr id="101546" name="矩形 101545"/>
          <xdr:cNvSpPr/>
        </xdr:nvSpPr>
        <xdr:spPr bwMode="auto">
          <a:xfrm>
            <a:off x="5266531" y="2177415"/>
            <a:ext cx="7938" cy="952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969696" mc:Ignorable="a14" a14:legacySpreadsheetColorIndex="55"/>
          </a:solidFill>
          <a:ln w="38100" cap="flat" cmpd="sng" algn="ctr">
            <a:solidFill>
              <a:srgbClr xmlns:mc="http://schemas.openxmlformats.org/markup-compatibility/2006" xmlns:a14="http://schemas.microsoft.com/office/drawing/2010/main" val="969696" mc:Ignorable="a14" a14:legacySpreadsheetColorIndex="55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pPr algn="l"/>
            <a:endParaRPr lang="zh-TW" altLang="en-US" sz="1100"/>
          </a:p>
        </xdr:txBody>
      </xdr:sp>
      <xdr:sp macro="" textlink="">
        <xdr:nvSpPr>
          <xdr:cNvPr id="101547" name="矩形 101546"/>
          <xdr:cNvSpPr/>
        </xdr:nvSpPr>
        <xdr:spPr bwMode="auto">
          <a:xfrm>
            <a:off x="5298122" y="5455444"/>
            <a:ext cx="9525" cy="7937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969696" mc:Ignorable="a14" a14:legacySpreadsheetColorIndex="55"/>
          </a:solidFill>
          <a:ln w="38100" cap="flat" cmpd="sng" algn="ctr">
            <a:solidFill>
              <a:srgbClr xmlns:mc="http://schemas.openxmlformats.org/markup-compatibility/2006" xmlns:a14="http://schemas.microsoft.com/office/drawing/2010/main" val="969696" mc:Ignorable="a14" a14:legacySpreadsheetColorIndex="55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pPr algn="l"/>
            <a:endParaRPr lang="zh-TW" altLang="en-US" sz="1100"/>
          </a:p>
        </xdr:txBody>
      </xdr:sp>
      <xdr:sp macro="" textlink="">
        <xdr:nvSpPr>
          <xdr:cNvPr id="101548" name="矩形 101547"/>
          <xdr:cNvSpPr/>
        </xdr:nvSpPr>
        <xdr:spPr bwMode="auto">
          <a:xfrm>
            <a:off x="5266531" y="2188210"/>
            <a:ext cx="7938" cy="952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969696" mc:Ignorable="a14" a14:legacySpreadsheetColorIndex="55"/>
          </a:solidFill>
          <a:ln w="38100" cap="flat" cmpd="sng" algn="ctr">
            <a:solidFill>
              <a:srgbClr xmlns:mc="http://schemas.openxmlformats.org/markup-compatibility/2006" xmlns:a14="http://schemas.microsoft.com/office/drawing/2010/main" val="969696" mc:Ignorable="a14" a14:legacySpreadsheetColorIndex="55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pPr algn="l"/>
            <a:endParaRPr lang="zh-TW" altLang="en-US" sz="1100"/>
          </a:p>
        </xdr:txBody>
      </xdr:sp>
      <xdr:sp macro="" textlink="">
        <xdr:nvSpPr>
          <xdr:cNvPr id="101549" name="矩形 101548"/>
          <xdr:cNvSpPr/>
        </xdr:nvSpPr>
        <xdr:spPr bwMode="auto">
          <a:xfrm>
            <a:off x="5266531" y="5422265"/>
            <a:ext cx="7938" cy="952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969696" mc:Ignorable="a14" a14:legacySpreadsheetColorIndex="55"/>
          </a:solidFill>
          <a:ln w="38100" cap="flat" cmpd="sng" algn="ctr">
            <a:solidFill>
              <a:srgbClr xmlns:mc="http://schemas.openxmlformats.org/markup-compatibility/2006" xmlns:a14="http://schemas.microsoft.com/office/drawing/2010/main" val="969696" mc:Ignorable="a14" a14:legacySpreadsheetColorIndex="55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pPr algn="l"/>
            <a:endParaRPr lang="zh-TW" altLang="en-US" sz="1100"/>
          </a:p>
        </xdr:txBody>
      </xdr:sp>
      <xdr:sp macro="" textlink="">
        <xdr:nvSpPr>
          <xdr:cNvPr id="101550" name="矩形 101549"/>
          <xdr:cNvSpPr/>
        </xdr:nvSpPr>
        <xdr:spPr bwMode="auto">
          <a:xfrm>
            <a:off x="8719503" y="5455444"/>
            <a:ext cx="9525" cy="7937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969696" mc:Ignorable="a14" a14:legacySpreadsheetColorIndex="55"/>
          </a:solidFill>
          <a:ln w="38100" cap="flat" cmpd="sng" algn="ctr">
            <a:solidFill>
              <a:srgbClr xmlns:mc="http://schemas.openxmlformats.org/markup-compatibility/2006" xmlns:a14="http://schemas.microsoft.com/office/drawing/2010/main" val="969696" mc:Ignorable="a14" a14:legacySpreadsheetColorIndex="55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pPr algn="l"/>
            <a:endParaRPr lang="zh-TW" altLang="en-US" sz="1100"/>
          </a:p>
        </xdr:txBody>
      </xdr:sp>
      <xdr:sp macro="" textlink="">
        <xdr:nvSpPr>
          <xdr:cNvPr id="101551" name="矩形 101550"/>
          <xdr:cNvSpPr/>
        </xdr:nvSpPr>
        <xdr:spPr bwMode="auto">
          <a:xfrm>
            <a:off x="8708707" y="5455444"/>
            <a:ext cx="9525" cy="7937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969696" mc:Ignorable="a14" a14:legacySpreadsheetColorIndex="55"/>
          </a:solidFill>
          <a:ln w="38100" cap="flat" cmpd="sng" algn="ctr">
            <a:solidFill>
              <a:srgbClr xmlns:mc="http://schemas.openxmlformats.org/markup-compatibility/2006" xmlns:a14="http://schemas.microsoft.com/office/drawing/2010/main" val="969696" mc:Ignorable="a14" a14:legacySpreadsheetColorIndex="55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pPr algn="l"/>
            <a:endParaRPr lang="zh-TW" altLang="en-US" sz="1100"/>
          </a:p>
        </xdr:txBody>
      </xdr:sp>
      <xdr:sp macro="" textlink="">
        <xdr:nvSpPr>
          <xdr:cNvPr id="101552" name="矩形 101551"/>
          <xdr:cNvSpPr/>
        </xdr:nvSpPr>
        <xdr:spPr bwMode="auto">
          <a:xfrm>
            <a:off x="5266531" y="5411470"/>
            <a:ext cx="7938" cy="952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969696" mc:Ignorable="a14" a14:legacySpreadsheetColorIndex="55"/>
          </a:solidFill>
          <a:ln w="38100" cap="flat" cmpd="sng" algn="ctr">
            <a:solidFill>
              <a:srgbClr xmlns:mc="http://schemas.openxmlformats.org/markup-compatibility/2006" xmlns:a14="http://schemas.microsoft.com/office/drawing/2010/main" val="969696" mc:Ignorable="a14" a14:legacySpreadsheetColorIndex="55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pPr algn="l"/>
            <a:endParaRPr lang="zh-TW" altLang="en-US" sz="1100"/>
          </a:p>
        </xdr:txBody>
      </xdr:sp>
      <xdr:sp macro="" textlink="">
        <xdr:nvSpPr>
          <xdr:cNvPr id="101553" name="矩形 101552"/>
          <xdr:cNvSpPr/>
        </xdr:nvSpPr>
        <xdr:spPr bwMode="auto">
          <a:xfrm>
            <a:off x="5266531" y="2199005"/>
            <a:ext cx="7938" cy="952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969696" mc:Ignorable="a14" a14:legacySpreadsheetColorIndex="55"/>
          </a:solidFill>
          <a:ln w="38100" cap="flat" cmpd="sng" algn="ctr">
            <a:solidFill>
              <a:srgbClr xmlns:mc="http://schemas.openxmlformats.org/markup-compatibility/2006" xmlns:a14="http://schemas.microsoft.com/office/drawing/2010/main" val="969696" mc:Ignorable="a14" a14:legacySpreadsheetColorIndex="55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pPr algn="l"/>
            <a:endParaRPr lang="zh-TW" altLang="en-US" sz="1100"/>
          </a:p>
        </xdr:txBody>
      </xdr:sp>
      <xdr:sp macro="" textlink="">
        <xdr:nvSpPr>
          <xdr:cNvPr id="101554" name="矩形 101553"/>
          <xdr:cNvSpPr/>
        </xdr:nvSpPr>
        <xdr:spPr bwMode="auto">
          <a:xfrm>
            <a:off x="5308917" y="5455444"/>
            <a:ext cx="9525" cy="7937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969696" mc:Ignorable="a14" a14:legacySpreadsheetColorIndex="55"/>
          </a:solidFill>
          <a:ln w="38100" cap="flat" cmpd="sng" algn="ctr">
            <a:solidFill>
              <a:srgbClr xmlns:mc="http://schemas.openxmlformats.org/markup-compatibility/2006" xmlns:a14="http://schemas.microsoft.com/office/drawing/2010/main" val="969696" mc:Ignorable="a14" a14:legacySpreadsheetColorIndex="55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pPr algn="l"/>
            <a:endParaRPr lang="zh-TW" altLang="en-US" sz="1100"/>
          </a:p>
        </xdr:txBody>
      </xdr:sp>
      <xdr:sp macro="" textlink="">
        <xdr:nvSpPr>
          <xdr:cNvPr id="101555" name="矩形 101554"/>
          <xdr:cNvSpPr/>
        </xdr:nvSpPr>
        <xdr:spPr bwMode="auto">
          <a:xfrm>
            <a:off x="8178800" y="2166620"/>
            <a:ext cx="565150" cy="7938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969696" mc:Ignorable="a14" a14:legacySpreadsheetColorIndex="55"/>
          </a:solidFill>
          <a:ln w="38100" cap="flat" cmpd="sng" algn="ctr">
            <a:solidFill>
              <a:srgbClr xmlns:mc="http://schemas.openxmlformats.org/markup-compatibility/2006" xmlns:a14="http://schemas.microsoft.com/office/drawing/2010/main" val="969696" mc:Ignorable="a14" a14:legacySpreadsheetColorIndex="55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pPr algn="l"/>
            <a:endParaRPr lang="zh-TW" altLang="en-US" sz="1100"/>
          </a:p>
        </xdr:txBody>
      </xdr:sp>
      <xdr:sp macro="" textlink="">
        <xdr:nvSpPr>
          <xdr:cNvPr id="101556" name="矩形 101555"/>
          <xdr:cNvSpPr/>
        </xdr:nvSpPr>
        <xdr:spPr bwMode="auto">
          <a:xfrm>
            <a:off x="5319395" y="5445442"/>
            <a:ext cx="565150" cy="7938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969696" mc:Ignorable="a14" a14:legacySpreadsheetColorIndex="55"/>
          </a:solidFill>
          <a:ln w="38100" cap="flat" cmpd="sng" algn="ctr">
            <a:solidFill>
              <a:srgbClr xmlns:mc="http://schemas.openxmlformats.org/markup-compatibility/2006" xmlns:a14="http://schemas.microsoft.com/office/drawing/2010/main" val="969696" mc:Ignorable="a14" a14:legacySpreadsheetColorIndex="55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pPr algn="l"/>
            <a:endParaRPr lang="zh-TW" altLang="en-US" sz="1100"/>
          </a:p>
        </xdr:txBody>
      </xdr:sp>
      <xdr:sp macro="" textlink="">
        <xdr:nvSpPr>
          <xdr:cNvPr id="101557" name="矩形 101556"/>
          <xdr:cNvSpPr/>
        </xdr:nvSpPr>
        <xdr:spPr bwMode="auto">
          <a:xfrm>
            <a:off x="5284470" y="2166620"/>
            <a:ext cx="565150" cy="7938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969696" mc:Ignorable="a14" a14:legacySpreadsheetColorIndex="55"/>
          </a:solidFill>
          <a:ln w="38100" cap="flat" cmpd="sng" algn="ctr">
            <a:solidFill>
              <a:srgbClr xmlns:mc="http://schemas.openxmlformats.org/markup-compatibility/2006" xmlns:a14="http://schemas.microsoft.com/office/drawing/2010/main" val="969696" mc:Ignorable="a14" a14:legacySpreadsheetColorIndex="55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pPr algn="l"/>
            <a:endParaRPr lang="zh-TW" altLang="en-US" sz="1100"/>
          </a:p>
        </xdr:txBody>
      </xdr:sp>
      <xdr:sp macro="" textlink="">
        <xdr:nvSpPr>
          <xdr:cNvPr id="101558" name="矩形 101557"/>
          <xdr:cNvSpPr/>
        </xdr:nvSpPr>
        <xdr:spPr bwMode="auto">
          <a:xfrm>
            <a:off x="8178800" y="5445442"/>
            <a:ext cx="565150" cy="7938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969696" mc:Ignorable="a14" a14:legacySpreadsheetColorIndex="55"/>
          </a:solidFill>
          <a:ln w="38100" cap="flat" cmpd="sng" algn="ctr">
            <a:solidFill>
              <a:srgbClr xmlns:mc="http://schemas.openxmlformats.org/markup-compatibility/2006" xmlns:a14="http://schemas.microsoft.com/office/drawing/2010/main" val="969696" mc:Ignorable="a14" a14:legacySpreadsheetColorIndex="55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pPr algn="l"/>
            <a:endParaRPr lang="zh-TW" altLang="en-US" sz="1100"/>
          </a:p>
        </xdr:txBody>
      </xdr:sp>
      <xdr:cxnSp macro="">
        <xdr:nvCxnSpPr>
          <xdr:cNvPr id="101559" name="直線接點 101558"/>
          <xdr:cNvCxnSpPr/>
        </xdr:nvCxnSpPr>
        <xdr:spPr bwMode="auto">
          <a:xfrm flipV="1">
            <a:off x="5270500" y="2160588"/>
            <a:ext cx="0" cy="3298825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101560" name="直線接點 101559"/>
          <xdr:cNvCxnSpPr/>
        </xdr:nvCxnSpPr>
        <xdr:spPr bwMode="auto">
          <a:xfrm flipV="1">
            <a:off x="8756650" y="2160588"/>
            <a:ext cx="0" cy="3298825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101561" name="直線接點 101560"/>
          <xdr:cNvCxnSpPr/>
        </xdr:nvCxnSpPr>
        <xdr:spPr bwMode="auto">
          <a:xfrm>
            <a:off x="5270500" y="5459413"/>
            <a:ext cx="3486150" cy="0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101562" name="直線接點 101561"/>
          <xdr:cNvCxnSpPr/>
        </xdr:nvCxnSpPr>
        <xdr:spPr bwMode="auto">
          <a:xfrm>
            <a:off x="5270500" y="2160588"/>
            <a:ext cx="3486150" cy="0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grpSp>
        <xdr:nvGrpSpPr>
          <xdr:cNvPr id="91" name="群組 90"/>
          <xdr:cNvGrpSpPr/>
        </xdr:nvGrpSpPr>
        <xdr:grpSpPr>
          <a:xfrm>
            <a:off x="5264150" y="2147888"/>
            <a:ext cx="3489325" cy="3325552"/>
            <a:chOff x="9474200" y="6191123"/>
            <a:chExt cx="3489325" cy="3325552"/>
          </a:xfrm>
        </xdr:grpSpPr>
        <xdr:cxnSp macro="">
          <xdr:nvCxnSpPr>
            <xdr:cNvPr id="92" name="直線接點 91"/>
            <xdr:cNvCxnSpPr/>
          </xdr:nvCxnSpPr>
          <xdr:spPr bwMode="auto">
            <a:xfrm>
              <a:off x="11223625" y="7854823"/>
              <a:ext cx="0" cy="0"/>
            </a:xfrm>
            <a:prstGeom prst="line">
              <a:avLst/>
            </a:prstGeom>
            <a:solidFill>
              <a:srgbClr val="FFFFFF"/>
            </a:solidFill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</xdr:cxnSp>
        <xdr:cxnSp macro="">
          <xdr:nvCxnSpPr>
            <xdr:cNvPr id="93" name="直線接點 92"/>
            <xdr:cNvCxnSpPr/>
          </xdr:nvCxnSpPr>
          <xdr:spPr bwMode="auto">
            <a:xfrm>
              <a:off x="11376025" y="8007223"/>
              <a:ext cx="0" cy="0"/>
            </a:xfrm>
            <a:prstGeom prst="line">
              <a:avLst/>
            </a:prstGeom>
            <a:solidFill>
              <a:srgbClr val="FFFFFF"/>
            </a:solidFill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</xdr:cxnSp>
        <xdr:cxnSp macro="">
          <xdr:nvCxnSpPr>
            <xdr:cNvPr id="94" name="直線接點 93"/>
            <xdr:cNvCxnSpPr/>
          </xdr:nvCxnSpPr>
          <xdr:spPr bwMode="auto">
            <a:xfrm flipV="1">
              <a:off x="9483725" y="6205411"/>
              <a:ext cx="0" cy="3298825"/>
            </a:xfrm>
            <a:prstGeom prst="line">
              <a:avLst/>
            </a:prstGeom>
            <a:solidFill>
              <a:srgbClr val="FFFFFF"/>
            </a:solidFill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</xdr:cxnSp>
        <xdr:cxnSp macro="">
          <xdr:nvCxnSpPr>
            <xdr:cNvPr id="95" name="直線接點 94"/>
            <xdr:cNvCxnSpPr/>
          </xdr:nvCxnSpPr>
          <xdr:spPr bwMode="auto">
            <a:xfrm flipV="1">
              <a:off x="12963525" y="6205411"/>
              <a:ext cx="0" cy="3298825"/>
            </a:xfrm>
            <a:prstGeom prst="line">
              <a:avLst/>
            </a:prstGeom>
            <a:solidFill>
              <a:srgbClr val="FFFFFF"/>
            </a:solidFill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</xdr:cxnSp>
        <xdr:cxnSp macro="">
          <xdr:nvCxnSpPr>
            <xdr:cNvPr id="96" name="直線接點 95"/>
            <xdr:cNvCxnSpPr/>
          </xdr:nvCxnSpPr>
          <xdr:spPr bwMode="auto">
            <a:xfrm>
              <a:off x="9483725" y="9504236"/>
              <a:ext cx="3479800" cy="0"/>
            </a:xfrm>
            <a:prstGeom prst="line">
              <a:avLst/>
            </a:prstGeom>
            <a:solidFill>
              <a:srgbClr val="FFFFFF"/>
            </a:solidFill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</xdr:cxnSp>
        <xdr:cxnSp macro="">
          <xdr:nvCxnSpPr>
            <xdr:cNvPr id="97" name="直線接點 96"/>
            <xdr:cNvCxnSpPr/>
          </xdr:nvCxnSpPr>
          <xdr:spPr bwMode="auto">
            <a:xfrm>
              <a:off x="9483725" y="6205411"/>
              <a:ext cx="3479800" cy="0"/>
            </a:xfrm>
            <a:prstGeom prst="line">
              <a:avLst/>
            </a:prstGeom>
            <a:solidFill>
              <a:srgbClr val="FFFFFF"/>
            </a:solidFill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</xdr:cxnSp>
        <xdr:cxnSp macro="">
          <xdr:nvCxnSpPr>
            <xdr:cNvPr id="98" name="直線接點 97"/>
            <xdr:cNvCxnSpPr/>
          </xdr:nvCxnSpPr>
          <xdr:spPr bwMode="auto">
            <a:xfrm>
              <a:off x="9474200" y="6915118"/>
              <a:ext cx="3479800" cy="0"/>
            </a:xfrm>
            <a:prstGeom prst="line">
              <a:avLst/>
            </a:prstGeom>
            <a:solidFill>
              <a:srgbClr val="FFFFFF"/>
            </a:solidFill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</xdr:cxnSp>
        <xdr:cxnSp macro="">
          <xdr:nvCxnSpPr>
            <xdr:cNvPr id="99" name="直線接點 98"/>
            <xdr:cNvCxnSpPr/>
          </xdr:nvCxnSpPr>
          <xdr:spPr bwMode="auto">
            <a:xfrm>
              <a:off x="9474200" y="6683343"/>
              <a:ext cx="3479800" cy="0"/>
            </a:xfrm>
            <a:prstGeom prst="line">
              <a:avLst/>
            </a:prstGeom>
            <a:solidFill>
              <a:srgbClr val="FFFFFF"/>
            </a:solidFill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</xdr:cxnSp>
        <xdr:cxnSp macro="">
          <xdr:nvCxnSpPr>
            <xdr:cNvPr id="100" name="直線接點 99"/>
            <xdr:cNvCxnSpPr/>
          </xdr:nvCxnSpPr>
          <xdr:spPr bwMode="auto">
            <a:xfrm>
              <a:off x="9474200" y="6451568"/>
              <a:ext cx="3479800" cy="0"/>
            </a:xfrm>
            <a:prstGeom prst="line">
              <a:avLst/>
            </a:prstGeom>
            <a:solidFill>
              <a:srgbClr val="FFFFFF"/>
            </a:solidFill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</xdr:cxnSp>
        <xdr:cxnSp macro="">
          <xdr:nvCxnSpPr>
            <xdr:cNvPr id="101" name="直線接點 100"/>
            <xdr:cNvCxnSpPr/>
          </xdr:nvCxnSpPr>
          <xdr:spPr bwMode="auto">
            <a:xfrm flipH="1" flipV="1">
              <a:off x="9626601" y="6452727"/>
              <a:ext cx="4526" cy="684546"/>
            </a:xfrm>
            <a:prstGeom prst="line">
              <a:avLst/>
            </a:prstGeom>
            <a:solidFill>
              <a:srgbClr val="FFFFFF"/>
            </a:solidFill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</xdr:cxnSp>
        <xdr:cxnSp macro="">
          <xdr:nvCxnSpPr>
            <xdr:cNvPr id="102" name="直線接點 101"/>
            <xdr:cNvCxnSpPr/>
          </xdr:nvCxnSpPr>
          <xdr:spPr bwMode="auto">
            <a:xfrm flipH="1" flipV="1">
              <a:off x="9774237" y="6452727"/>
              <a:ext cx="3632" cy="667634"/>
            </a:xfrm>
            <a:prstGeom prst="line">
              <a:avLst/>
            </a:prstGeom>
            <a:solidFill>
              <a:srgbClr val="FFFFFF"/>
            </a:solidFill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</xdr:cxnSp>
        <xdr:cxnSp macro="">
          <xdr:nvCxnSpPr>
            <xdr:cNvPr id="103" name="直線接點 102"/>
            <xdr:cNvCxnSpPr/>
          </xdr:nvCxnSpPr>
          <xdr:spPr bwMode="auto">
            <a:xfrm flipH="1" flipV="1">
              <a:off x="9918700" y="6452731"/>
              <a:ext cx="629" cy="672345"/>
            </a:xfrm>
            <a:prstGeom prst="line">
              <a:avLst/>
            </a:prstGeom>
            <a:solidFill>
              <a:srgbClr val="FFFFFF"/>
            </a:solidFill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</xdr:cxnSp>
        <xdr:cxnSp macro="">
          <xdr:nvCxnSpPr>
            <xdr:cNvPr id="104" name="直線接點 103"/>
            <xdr:cNvCxnSpPr/>
          </xdr:nvCxnSpPr>
          <xdr:spPr bwMode="auto">
            <a:xfrm flipV="1">
              <a:off x="10060789" y="6457444"/>
              <a:ext cx="2373" cy="672348"/>
            </a:xfrm>
            <a:prstGeom prst="line">
              <a:avLst/>
            </a:prstGeom>
            <a:solidFill>
              <a:srgbClr val="FFFFFF"/>
            </a:solidFill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</xdr:cxnSp>
        <xdr:cxnSp macro="">
          <xdr:nvCxnSpPr>
            <xdr:cNvPr id="105" name="直線接點 104"/>
            <xdr:cNvCxnSpPr/>
          </xdr:nvCxnSpPr>
          <xdr:spPr bwMode="auto">
            <a:xfrm flipV="1">
              <a:off x="10206965" y="6448012"/>
              <a:ext cx="660" cy="677064"/>
            </a:xfrm>
            <a:prstGeom prst="line">
              <a:avLst/>
            </a:prstGeom>
            <a:solidFill>
              <a:srgbClr val="FFFFFF"/>
            </a:solidFill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</xdr:cxnSp>
        <xdr:cxnSp macro="">
          <xdr:nvCxnSpPr>
            <xdr:cNvPr id="106" name="直線接點 105"/>
            <xdr:cNvCxnSpPr/>
          </xdr:nvCxnSpPr>
          <xdr:spPr bwMode="auto">
            <a:xfrm flipV="1">
              <a:off x="10348425" y="6191123"/>
              <a:ext cx="3662" cy="929238"/>
            </a:xfrm>
            <a:prstGeom prst="line">
              <a:avLst/>
            </a:prstGeom>
            <a:solidFill>
              <a:srgbClr val="FFFFFF"/>
            </a:solidFill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</xdr:cxnSp>
        <xdr:cxnSp macro="">
          <xdr:nvCxnSpPr>
            <xdr:cNvPr id="107" name="直線接點 106"/>
            <xdr:cNvCxnSpPr/>
          </xdr:nvCxnSpPr>
          <xdr:spPr bwMode="auto">
            <a:xfrm flipV="1">
              <a:off x="10494601" y="6191124"/>
              <a:ext cx="1949" cy="924522"/>
            </a:xfrm>
            <a:prstGeom prst="line">
              <a:avLst/>
            </a:prstGeom>
            <a:solidFill>
              <a:srgbClr val="FFFFFF"/>
            </a:solidFill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</xdr:cxnSp>
        <xdr:cxnSp macro="">
          <xdr:nvCxnSpPr>
            <xdr:cNvPr id="108" name="直線接點 107"/>
            <xdr:cNvCxnSpPr/>
          </xdr:nvCxnSpPr>
          <xdr:spPr bwMode="auto">
            <a:xfrm flipV="1">
              <a:off x="10636062" y="6191124"/>
              <a:ext cx="4950" cy="933952"/>
            </a:xfrm>
            <a:prstGeom prst="line">
              <a:avLst/>
            </a:prstGeom>
            <a:solidFill>
              <a:srgbClr val="FFFFFF"/>
            </a:solidFill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</xdr:cxnSp>
        <xdr:cxnSp macro="">
          <xdr:nvCxnSpPr>
            <xdr:cNvPr id="109" name="直線接點 108"/>
            <xdr:cNvCxnSpPr/>
          </xdr:nvCxnSpPr>
          <xdr:spPr bwMode="auto">
            <a:xfrm flipH="1" flipV="1">
              <a:off x="10788651" y="6191124"/>
              <a:ext cx="1948" cy="929237"/>
            </a:xfrm>
            <a:prstGeom prst="line">
              <a:avLst/>
            </a:prstGeom>
            <a:solidFill>
              <a:srgbClr val="FFFFFF"/>
            </a:solidFill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</xdr:cxnSp>
        <xdr:cxnSp macro="">
          <xdr:nvCxnSpPr>
            <xdr:cNvPr id="110" name="直線接點 109"/>
            <xdr:cNvCxnSpPr/>
          </xdr:nvCxnSpPr>
          <xdr:spPr bwMode="auto">
            <a:xfrm flipV="1">
              <a:off x="10927344" y="6191124"/>
              <a:ext cx="5768" cy="924522"/>
            </a:xfrm>
            <a:prstGeom prst="line">
              <a:avLst/>
            </a:prstGeom>
            <a:solidFill>
              <a:srgbClr val="FFFFFF"/>
            </a:solidFill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</xdr:cxnSp>
        <xdr:cxnSp macro="">
          <xdr:nvCxnSpPr>
            <xdr:cNvPr id="111" name="直線接點 110"/>
            <xdr:cNvCxnSpPr/>
          </xdr:nvCxnSpPr>
          <xdr:spPr bwMode="auto">
            <a:xfrm flipV="1">
              <a:off x="11073519" y="6191124"/>
              <a:ext cx="4056" cy="919806"/>
            </a:xfrm>
            <a:prstGeom prst="line">
              <a:avLst/>
            </a:prstGeom>
            <a:solidFill>
              <a:srgbClr val="FFFFFF"/>
            </a:solidFill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</xdr:cxnSp>
        <xdr:cxnSp macro="">
          <xdr:nvCxnSpPr>
            <xdr:cNvPr id="112" name="直線接點 111"/>
            <xdr:cNvCxnSpPr/>
          </xdr:nvCxnSpPr>
          <xdr:spPr bwMode="auto">
            <a:xfrm flipV="1">
              <a:off x="11214980" y="6191123"/>
              <a:ext cx="7057" cy="924523"/>
            </a:xfrm>
            <a:prstGeom prst="line">
              <a:avLst/>
            </a:prstGeom>
            <a:solidFill>
              <a:srgbClr val="FFFFFF"/>
            </a:solidFill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</xdr:cxnSp>
        <xdr:cxnSp macro="">
          <xdr:nvCxnSpPr>
            <xdr:cNvPr id="113" name="直線接點 112"/>
            <xdr:cNvCxnSpPr/>
          </xdr:nvCxnSpPr>
          <xdr:spPr bwMode="auto">
            <a:xfrm flipV="1">
              <a:off x="11356440" y="6191123"/>
              <a:ext cx="10060" cy="933953"/>
            </a:xfrm>
            <a:prstGeom prst="line">
              <a:avLst/>
            </a:prstGeom>
            <a:solidFill>
              <a:srgbClr val="FFFFFF"/>
            </a:solidFill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</xdr:cxnSp>
        <xdr:cxnSp macro="">
          <xdr:nvCxnSpPr>
            <xdr:cNvPr id="114" name="直線接點 113"/>
            <xdr:cNvCxnSpPr/>
          </xdr:nvCxnSpPr>
          <xdr:spPr bwMode="auto">
            <a:xfrm flipV="1">
              <a:off x="11502616" y="6191124"/>
              <a:ext cx="8346" cy="948098"/>
            </a:xfrm>
            <a:prstGeom prst="line">
              <a:avLst/>
            </a:prstGeom>
            <a:solidFill>
              <a:srgbClr val="FFFFFF"/>
            </a:solidFill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</xdr:cxnSp>
        <xdr:cxnSp macro="">
          <xdr:nvCxnSpPr>
            <xdr:cNvPr id="115" name="直線接點 114"/>
            <xdr:cNvCxnSpPr/>
          </xdr:nvCxnSpPr>
          <xdr:spPr bwMode="auto">
            <a:xfrm flipV="1">
              <a:off x="11648792" y="6191123"/>
              <a:ext cx="6633" cy="943384"/>
            </a:xfrm>
            <a:prstGeom prst="line">
              <a:avLst/>
            </a:prstGeom>
            <a:solidFill>
              <a:srgbClr val="FFFFFF"/>
            </a:solidFill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</xdr:cxnSp>
        <xdr:cxnSp macro="">
          <xdr:nvCxnSpPr>
            <xdr:cNvPr id="116" name="直線接點 115"/>
            <xdr:cNvCxnSpPr/>
          </xdr:nvCxnSpPr>
          <xdr:spPr bwMode="auto">
            <a:xfrm flipV="1">
              <a:off x="11798614" y="6191123"/>
              <a:ext cx="4448" cy="929238"/>
            </a:xfrm>
            <a:prstGeom prst="line">
              <a:avLst/>
            </a:prstGeom>
            <a:solidFill>
              <a:srgbClr val="FFFFFF"/>
            </a:solidFill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</xdr:cxnSp>
        <xdr:cxnSp macro="">
          <xdr:nvCxnSpPr>
            <xdr:cNvPr id="117" name="直線接點 116"/>
            <xdr:cNvCxnSpPr/>
          </xdr:nvCxnSpPr>
          <xdr:spPr bwMode="auto">
            <a:xfrm flipV="1">
              <a:off x="11940075" y="6191123"/>
              <a:ext cx="7450" cy="938669"/>
            </a:xfrm>
            <a:prstGeom prst="line">
              <a:avLst/>
            </a:prstGeom>
            <a:solidFill>
              <a:srgbClr val="FFFFFF"/>
            </a:solidFill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</xdr:cxnSp>
        <xdr:cxnSp macro="">
          <xdr:nvCxnSpPr>
            <xdr:cNvPr id="118" name="直線接點 117"/>
            <xdr:cNvCxnSpPr/>
          </xdr:nvCxnSpPr>
          <xdr:spPr bwMode="auto">
            <a:xfrm flipV="1">
              <a:off x="12086251" y="6191123"/>
              <a:ext cx="5736" cy="929238"/>
            </a:xfrm>
            <a:prstGeom prst="line">
              <a:avLst/>
            </a:prstGeom>
            <a:solidFill>
              <a:srgbClr val="FFFFFF"/>
            </a:solidFill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</xdr:cxnSp>
        <xdr:cxnSp macro="">
          <xdr:nvCxnSpPr>
            <xdr:cNvPr id="119" name="直線接點 118"/>
            <xdr:cNvCxnSpPr/>
          </xdr:nvCxnSpPr>
          <xdr:spPr bwMode="auto">
            <a:xfrm flipV="1">
              <a:off x="12232426" y="6457442"/>
              <a:ext cx="4026" cy="662919"/>
            </a:xfrm>
            <a:prstGeom prst="line">
              <a:avLst/>
            </a:prstGeom>
            <a:solidFill>
              <a:srgbClr val="FFFFFF"/>
            </a:solidFill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</xdr:cxnSp>
        <xdr:cxnSp macro="">
          <xdr:nvCxnSpPr>
            <xdr:cNvPr id="120" name="直線接點 119"/>
            <xdr:cNvCxnSpPr/>
          </xdr:nvCxnSpPr>
          <xdr:spPr bwMode="auto">
            <a:xfrm flipV="1">
              <a:off x="12373887" y="6462164"/>
              <a:ext cx="7025" cy="662912"/>
            </a:xfrm>
            <a:prstGeom prst="line">
              <a:avLst/>
            </a:prstGeom>
            <a:solidFill>
              <a:srgbClr val="FFFFFF"/>
            </a:solidFill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</xdr:cxnSp>
        <xdr:cxnSp macro="">
          <xdr:nvCxnSpPr>
            <xdr:cNvPr id="121" name="直線接點 120"/>
            <xdr:cNvCxnSpPr/>
          </xdr:nvCxnSpPr>
          <xdr:spPr bwMode="auto">
            <a:xfrm flipV="1">
              <a:off x="12524778" y="6462164"/>
              <a:ext cx="597" cy="662912"/>
            </a:xfrm>
            <a:prstGeom prst="line">
              <a:avLst/>
            </a:prstGeom>
            <a:solidFill>
              <a:srgbClr val="FFFFFF"/>
            </a:solidFill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</xdr:cxnSp>
        <xdr:cxnSp macro="">
          <xdr:nvCxnSpPr>
            <xdr:cNvPr id="122" name="直線接點 121"/>
            <xdr:cNvCxnSpPr/>
          </xdr:nvCxnSpPr>
          <xdr:spPr bwMode="auto">
            <a:xfrm flipV="1">
              <a:off x="12666238" y="6462163"/>
              <a:ext cx="10420" cy="653483"/>
            </a:xfrm>
            <a:prstGeom prst="line">
              <a:avLst/>
            </a:prstGeom>
            <a:solidFill>
              <a:srgbClr val="FFFFFF"/>
            </a:solidFill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</xdr:cxnSp>
        <xdr:cxnSp macro="">
          <xdr:nvCxnSpPr>
            <xdr:cNvPr id="123" name="直線接點 122"/>
            <xdr:cNvCxnSpPr/>
          </xdr:nvCxnSpPr>
          <xdr:spPr bwMode="auto">
            <a:xfrm flipV="1">
              <a:off x="12816060" y="6462163"/>
              <a:ext cx="1415" cy="662913"/>
            </a:xfrm>
            <a:prstGeom prst="line">
              <a:avLst/>
            </a:prstGeom>
            <a:solidFill>
              <a:srgbClr val="FFFFFF"/>
            </a:solidFill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</xdr:cxnSp>
        <xdr:cxnSp macro="">
          <xdr:nvCxnSpPr>
            <xdr:cNvPr id="124" name="直線接點 123"/>
            <xdr:cNvCxnSpPr/>
          </xdr:nvCxnSpPr>
          <xdr:spPr bwMode="auto">
            <a:xfrm>
              <a:off x="9477148" y="7120364"/>
              <a:ext cx="3479800" cy="0"/>
            </a:xfrm>
            <a:prstGeom prst="line">
              <a:avLst/>
            </a:prstGeom>
            <a:solidFill>
              <a:srgbClr val="FFFFFF"/>
            </a:solidFill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</xdr:cxnSp>
        <xdr:cxnSp macro="">
          <xdr:nvCxnSpPr>
            <xdr:cNvPr id="125" name="直線接點 124"/>
            <xdr:cNvCxnSpPr/>
          </xdr:nvCxnSpPr>
          <xdr:spPr bwMode="auto">
            <a:xfrm>
              <a:off x="9527446" y="8969343"/>
              <a:ext cx="3375324" cy="0"/>
            </a:xfrm>
            <a:prstGeom prst="line">
              <a:avLst/>
            </a:prstGeom>
            <a:solidFill>
              <a:srgbClr val="FFFFFF"/>
            </a:solidFill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</xdr:cxnSp>
        <xdr:cxnSp macro="">
          <xdr:nvCxnSpPr>
            <xdr:cNvPr id="126" name="直線接點 125"/>
            <xdr:cNvCxnSpPr/>
          </xdr:nvCxnSpPr>
          <xdr:spPr bwMode="auto">
            <a:xfrm>
              <a:off x="9527446" y="8703554"/>
              <a:ext cx="3375324" cy="0"/>
            </a:xfrm>
            <a:prstGeom prst="line">
              <a:avLst/>
            </a:prstGeom>
            <a:solidFill>
              <a:srgbClr val="FFFFFF"/>
            </a:solidFill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</xdr:cxnSp>
        <xdr:cxnSp macro="">
          <xdr:nvCxnSpPr>
            <xdr:cNvPr id="127" name="直線接點 126"/>
            <xdr:cNvCxnSpPr/>
          </xdr:nvCxnSpPr>
          <xdr:spPr bwMode="auto">
            <a:xfrm>
              <a:off x="9527446" y="8437766"/>
              <a:ext cx="3375324" cy="0"/>
            </a:xfrm>
            <a:prstGeom prst="line">
              <a:avLst/>
            </a:prstGeom>
            <a:solidFill>
              <a:srgbClr val="FFFFFF"/>
            </a:solidFill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</xdr:cxnSp>
        <xdr:cxnSp macro="">
          <xdr:nvCxnSpPr>
            <xdr:cNvPr id="128" name="直線接點 127"/>
            <xdr:cNvCxnSpPr/>
          </xdr:nvCxnSpPr>
          <xdr:spPr bwMode="auto">
            <a:xfrm>
              <a:off x="9527446" y="8171978"/>
              <a:ext cx="3375324" cy="0"/>
            </a:xfrm>
            <a:prstGeom prst="line">
              <a:avLst/>
            </a:prstGeom>
            <a:solidFill>
              <a:srgbClr val="FFFFFF"/>
            </a:solidFill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</xdr:cxnSp>
        <xdr:cxnSp macro="">
          <xdr:nvCxnSpPr>
            <xdr:cNvPr id="129" name="直線接點 128"/>
            <xdr:cNvCxnSpPr/>
          </xdr:nvCxnSpPr>
          <xdr:spPr bwMode="auto">
            <a:xfrm>
              <a:off x="9527446" y="7903926"/>
              <a:ext cx="3375324" cy="0"/>
            </a:xfrm>
            <a:prstGeom prst="line">
              <a:avLst/>
            </a:prstGeom>
            <a:solidFill>
              <a:srgbClr val="FFFFFF"/>
            </a:solidFill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</xdr:cxnSp>
        <xdr:cxnSp macro="">
          <xdr:nvCxnSpPr>
            <xdr:cNvPr id="130" name="直線接點 129"/>
            <xdr:cNvCxnSpPr/>
          </xdr:nvCxnSpPr>
          <xdr:spPr bwMode="auto">
            <a:xfrm>
              <a:off x="9527446" y="7638137"/>
              <a:ext cx="3375324" cy="0"/>
            </a:xfrm>
            <a:prstGeom prst="line">
              <a:avLst/>
            </a:prstGeom>
            <a:solidFill>
              <a:srgbClr val="FFFFFF"/>
            </a:solidFill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</xdr:cxnSp>
        <xdr:cxnSp macro="">
          <xdr:nvCxnSpPr>
            <xdr:cNvPr id="131" name="直線接點 130"/>
            <xdr:cNvCxnSpPr/>
          </xdr:nvCxnSpPr>
          <xdr:spPr bwMode="auto">
            <a:xfrm>
              <a:off x="9527446" y="7372349"/>
              <a:ext cx="3375324" cy="0"/>
            </a:xfrm>
            <a:prstGeom prst="line">
              <a:avLst/>
            </a:prstGeom>
            <a:solidFill>
              <a:srgbClr val="FFFFFF"/>
            </a:solidFill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</xdr:cxnSp>
        <xdr:cxnSp macro="">
          <xdr:nvCxnSpPr>
            <xdr:cNvPr id="132" name="直線接點 131"/>
            <xdr:cNvCxnSpPr/>
          </xdr:nvCxnSpPr>
          <xdr:spPr bwMode="auto">
            <a:xfrm flipH="1" flipV="1">
              <a:off x="9533768" y="7115653"/>
              <a:ext cx="11776" cy="1848772"/>
            </a:xfrm>
            <a:prstGeom prst="line">
              <a:avLst/>
            </a:prstGeom>
            <a:solidFill>
              <a:srgbClr val="FFFFFF"/>
            </a:solidFill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</xdr:cxnSp>
        <xdr:cxnSp macro="">
          <xdr:nvCxnSpPr>
            <xdr:cNvPr id="133" name="直線接點 132"/>
            <xdr:cNvCxnSpPr/>
          </xdr:nvCxnSpPr>
          <xdr:spPr bwMode="auto">
            <a:xfrm flipH="1" flipV="1">
              <a:off x="9713627" y="7115652"/>
              <a:ext cx="16122" cy="1859868"/>
            </a:xfrm>
            <a:prstGeom prst="line">
              <a:avLst/>
            </a:prstGeom>
            <a:solidFill>
              <a:srgbClr val="FFFFFF"/>
            </a:solidFill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</xdr:cxnSp>
        <xdr:cxnSp macro="">
          <xdr:nvCxnSpPr>
            <xdr:cNvPr id="134" name="直線接點 133"/>
            <xdr:cNvCxnSpPr/>
          </xdr:nvCxnSpPr>
          <xdr:spPr bwMode="auto">
            <a:xfrm flipH="1" flipV="1">
              <a:off x="9889840" y="7115652"/>
              <a:ext cx="2531" cy="1841283"/>
            </a:xfrm>
            <a:prstGeom prst="line">
              <a:avLst/>
            </a:prstGeom>
            <a:solidFill>
              <a:srgbClr val="FFFFFF"/>
            </a:solidFill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</xdr:cxnSp>
        <xdr:cxnSp macro="">
          <xdr:nvCxnSpPr>
            <xdr:cNvPr id="135" name="直線接點 134"/>
            <xdr:cNvCxnSpPr/>
          </xdr:nvCxnSpPr>
          <xdr:spPr bwMode="auto">
            <a:xfrm flipV="1">
              <a:off x="10064285" y="7115652"/>
              <a:ext cx="1767" cy="1831990"/>
            </a:xfrm>
            <a:prstGeom prst="line">
              <a:avLst/>
            </a:prstGeom>
            <a:solidFill>
              <a:srgbClr val="FFFFFF"/>
            </a:solidFill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</xdr:cxnSp>
        <xdr:cxnSp macro="">
          <xdr:nvCxnSpPr>
            <xdr:cNvPr id="136" name="直線接點 135"/>
            <xdr:cNvCxnSpPr/>
          </xdr:nvCxnSpPr>
          <xdr:spPr bwMode="auto">
            <a:xfrm flipH="1" flipV="1">
              <a:off x="10242265" y="7115652"/>
              <a:ext cx="7874" cy="1841283"/>
            </a:xfrm>
            <a:prstGeom prst="line">
              <a:avLst/>
            </a:prstGeom>
            <a:solidFill>
              <a:srgbClr val="FFFFFF"/>
            </a:solidFill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</xdr:cxnSp>
        <xdr:cxnSp macro="">
          <xdr:nvCxnSpPr>
            <xdr:cNvPr id="137" name="直線接點 136"/>
            <xdr:cNvCxnSpPr/>
          </xdr:nvCxnSpPr>
          <xdr:spPr bwMode="auto">
            <a:xfrm flipV="1">
              <a:off x="10412761" y="7115652"/>
              <a:ext cx="5716" cy="1855222"/>
            </a:xfrm>
            <a:prstGeom prst="line">
              <a:avLst/>
            </a:prstGeom>
            <a:solidFill>
              <a:srgbClr val="FFFFFF"/>
            </a:solidFill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</xdr:cxnSp>
        <xdr:cxnSp macro="">
          <xdr:nvCxnSpPr>
            <xdr:cNvPr id="138" name="直線接點 137"/>
            <xdr:cNvCxnSpPr/>
          </xdr:nvCxnSpPr>
          <xdr:spPr bwMode="auto">
            <a:xfrm flipH="1" flipV="1">
              <a:off x="10597865" y="7115652"/>
              <a:ext cx="749" cy="1850576"/>
            </a:xfrm>
            <a:prstGeom prst="line">
              <a:avLst/>
            </a:prstGeom>
            <a:solidFill>
              <a:srgbClr val="FFFFFF"/>
            </a:solidFill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</xdr:cxnSp>
        <xdr:cxnSp macro="">
          <xdr:nvCxnSpPr>
            <xdr:cNvPr id="139" name="直線接點 138"/>
            <xdr:cNvCxnSpPr/>
          </xdr:nvCxnSpPr>
          <xdr:spPr bwMode="auto">
            <a:xfrm flipH="1" flipV="1">
              <a:off x="10777723" y="7115652"/>
              <a:ext cx="6436" cy="1850576"/>
            </a:xfrm>
            <a:prstGeom prst="line">
              <a:avLst/>
            </a:prstGeom>
            <a:solidFill>
              <a:srgbClr val="FFFFFF"/>
            </a:solidFill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</xdr:cxnSp>
        <xdr:cxnSp macro="">
          <xdr:nvCxnSpPr>
            <xdr:cNvPr id="140" name="直線接點 139"/>
            <xdr:cNvCxnSpPr/>
          </xdr:nvCxnSpPr>
          <xdr:spPr bwMode="auto">
            <a:xfrm flipV="1">
              <a:off x="10951427" y="7115653"/>
              <a:ext cx="2509" cy="1845928"/>
            </a:xfrm>
            <a:prstGeom prst="line">
              <a:avLst/>
            </a:prstGeom>
            <a:solidFill>
              <a:srgbClr val="FFFFFF"/>
            </a:solidFill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</xdr:cxnSp>
        <xdr:cxnSp macro="">
          <xdr:nvCxnSpPr>
            <xdr:cNvPr id="141" name="直線接點 140"/>
            <xdr:cNvCxnSpPr/>
          </xdr:nvCxnSpPr>
          <xdr:spPr bwMode="auto">
            <a:xfrm flipV="1">
              <a:off x="11127988" y="7115652"/>
              <a:ext cx="2160" cy="1855222"/>
            </a:xfrm>
            <a:prstGeom prst="line">
              <a:avLst/>
            </a:prstGeom>
            <a:solidFill>
              <a:srgbClr val="FFFFFF"/>
            </a:solidFill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</xdr:cxnSp>
        <xdr:cxnSp macro="">
          <xdr:nvCxnSpPr>
            <xdr:cNvPr id="142" name="直線接點 141"/>
            <xdr:cNvCxnSpPr/>
          </xdr:nvCxnSpPr>
          <xdr:spPr bwMode="auto">
            <a:xfrm flipH="1" flipV="1">
              <a:off x="11306362" y="7115652"/>
              <a:ext cx="3775" cy="1850323"/>
            </a:xfrm>
            <a:prstGeom prst="line">
              <a:avLst/>
            </a:prstGeom>
            <a:solidFill>
              <a:srgbClr val="FFFFFF"/>
            </a:solidFill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</xdr:cxnSp>
        <xdr:cxnSp macro="">
          <xdr:nvCxnSpPr>
            <xdr:cNvPr id="143" name="直線接點 142"/>
            <xdr:cNvCxnSpPr/>
          </xdr:nvCxnSpPr>
          <xdr:spPr bwMode="auto">
            <a:xfrm flipH="1" flipV="1">
              <a:off x="11482573" y="7115652"/>
              <a:ext cx="13007" cy="1854538"/>
            </a:xfrm>
            <a:prstGeom prst="line">
              <a:avLst/>
            </a:prstGeom>
            <a:solidFill>
              <a:srgbClr val="FFFFFF"/>
            </a:solidFill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</xdr:cxnSp>
        <xdr:cxnSp macro="">
          <xdr:nvCxnSpPr>
            <xdr:cNvPr id="144" name="直線接點 143"/>
            <xdr:cNvCxnSpPr/>
          </xdr:nvCxnSpPr>
          <xdr:spPr bwMode="auto">
            <a:xfrm flipV="1">
              <a:off x="11657671" y="7115652"/>
              <a:ext cx="4290" cy="1859868"/>
            </a:xfrm>
            <a:prstGeom prst="line">
              <a:avLst/>
            </a:prstGeom>
            <a:solidFill>
              <a:srgbClr val="FFFFFF"/>
            </a:solidFill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</xdr:cxnSp>
        <xdr:cxnSp macro="">
          <xdr:nvCxnSpPr>
            <xdr:cNvPr id="145" name="直線接點 144"/>
            <xdr:cNvCxnSpPr/>
          </xdr:nvCxnSpPr>
          <xdr:spPr bwMode="auto">
            <a:xfrm flipH="1" flipV="1">
              <a:off x="11841820" y="7115653"/>
              <a:ext cx="5412" cy="2389016"/>
            </a:xfrm>
            <a:prstGeom prst="line">
              <a:avLst/>
            </a:prstGeom>
            <a:solidFill>
              <a:srgbClr val="FFFFFF"/>
            </a:solidFill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</xdr:cxnSp>
        <xdr:cxnSp macro="">
          <xdr:nvCxnSpPr>
            <xdr:cNvPr id="146" name="直線接點 145"/>
            <xdr:cNvCxnSpPr/>
          </xdr:nvCxnSpPr>
          <xdr:spPr bwMode="auto">
            <a:xfrm flipH="1" flipV="1">
              <a:off x="12014033" y="7115652"/>
              <a:ext cx="9354" cy="2381506"/>
            </a:xfrm>
            <a:prstGeom prst="line">
              <a:avLst/>
            </a:prstGeom>
            <a:solidFill>
              <a:srgbClr val="FFFFFF"/>
            </a:solidFill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</xdr:cxnSp>
        <xdr:cxnSp macro="">
          <xdr:nvCxnSpPr>
            <xdr:cNvPr id="147" name="直線接點 146"/>
            <xdr:cNvCxnSpPr/>
          </xdr:nvCxnSpPr>
          <xdr:spPr bwMode="auto">
            <a:xfrm flipV="1">
              <a:off x="12191306" y="7115653"/>
              <a:ext cx="2939" cy="2401022"/>
            </a:xfrm>
            <a:prstGeom prst="line">
              <a:avLst/>
            </a:prstGeom>
            <a:solidFill>
              <a:srgbClr val="FFFFFF"/>
            </a:solidFill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</xdr:cxnSp>
        <xdr:cxnSp macro="">
          <xdr:nvCxnSpPr>
            <xdr:cNvPr id="148" name="直線接點 147"/>
            <xdr:cNvCxnSpPr/>
          </xdr:nvCxnSpPr>
          <xdr:spPr bwMode="auto">
            <a:xfrm flipV="1">
              <a:off x="12358958" y="7115654"/>
              <a:ext cx="11500" cy="2130284"/>
            </a:xfrm>
            <a:prstGeom prst="line">
              <a:avLst/>
            </a:prstGeom>
            <a:solidFill>
              <a:srgbClr val="FFFFFF"/>
            </a:solidFill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</xdr:cxnSp>
        <xdr:cxnSp macro="">
          <xdr:nvCxnSpPr>
            <xdr:cNvPr id="149" name="直線接點 148"/>
            <xdr:cNvCxnSpPr/>
          </xdr:nvCxnSpPr>
          <xdr:spPr bwMode="auto">
            <a:xfrm flipV="1">
              <a:off x="12540166" y="7115652"/>
              <a:ext cx="9679" cy="2116347"/>
            </a:xfrm>
            <a:prstGeom prst="line">
              <a:avLst/>
            </a:prstGeom>
            <a:solidFill>
              <a:srgbClr val="FFFFFF"/>
            </a:solidFill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</xdr:cxnSp>
        <xdr:cxnSp macro="">
          <xdr:nvCxnSpPr>
            <xdr:cNvPr id="150" name="直線接點 149"/>
            <xdr:cNvCxnSpPr/>
          </xdr:nvCxnSpPr>
          <xdr:spPr bwMode="auto">
            <a:xfrm flipV="1">
              <a:off x="12725710" y="7110932"/>
              <a:ext cx="10185" cy="2116421"/>
            </a:xfrm>
            <a:prstGeom prst="line">
              <a:avLst/>
            </a:prstGeom>
            <a:solidFill>
              <a:srgbClr val="FFFFFF"/>
            </a:solidFill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</xdr:cxnSp>
        <xdr:cxnSp macro="">
          <xdr:nvCxnSpPr>
            <xdr:cNvPr id="151" name="直線接點 150"/>
            <xdr:cNvCxnSpPr/>
          </xdr:nvCxnSpPr>
          <xdr:spPr bwMode="auto">
            <a:xfrm flipV="1">
              <a:off x="12897624" y="7123499"/>
              <a:ext cx="9293" cy="2103854"/>
            </a:xfrm>
            <a:prstGeom prst="line">
              <a:avLst/>
            </a:prstGeom>
            <a:solidFill>
              <a:srgbClr val="FFFFFF"/>
            </a:solidFill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</xdr:cxnSp>
        <xdr:cxnSp macro="">
          <xdr:nvCxnSpPr>
            <xdr:cNvPr id="152" name="直線接點 151"/>
            <xdr:cNvCxnSpPr/>
          </xdr:nvCxnSpPr>
          <xdr:spPr bwMode="auto">
            <a:xfrm>
              <a:off x="11861800" y="9220200"/>
              <a:ext cx="1079500" cy="12700"/>
            </a:xfrm>
            <a:prstGeom prst="line">
              <a:avLst/>
            </a:prstGeom>
            <a:solidFill>
              <a:srgbClr val="FFFFFF"/>
            </a:solidFill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</xdr:cxnSp>
      </xdr:grpSp>
    </xdr:grp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5">
    <pageSetUpPr fitToPage="1"/>
  </sheetPr>
  <dimension ref="A1:J20"/>
  <sheetViews>
    <sheetView zoomScale="75" workbookViewId="0">
      <selection activeCell="H8" sqref="H8"/>
    </sheetView>
  </sheetViews>
  <sheetFormatPr defaultRowHeight="18.95" customHeight="1"/>
  <cols>
    <col min="1" max="1" width="13.625" style="12" customWidth="1"/>
    <col min="2" max="2" width="70.125" style="4" customWidth="1"/>
    <col min="3" max="3" width="30.625" style="4" customWidth="1"/>
    <col min="4" max="4" width="12.625" style="72" customWidth="1"/>
    <col min="5" max="5" width="10.125" style="4" bestFit="1" customWidth="1"/>
    <col min="6" max="6" width="7.25" style="4" bestFit="1" customWidth="1"/>
    <col min="7" max="7" width="27.5" style="4" bestFit="1" customWidth="1"/>
    <col min="8" max="8" width="61.5" style="4" customWidth="1"/>
    <col min="9" max="9" width="9.125" style="4" customWidth="1"/>
    <col min="10" max="10" width="9.625" style="13" customWidth="1"/>
    <col min="11" max="11" width="6.625" style="4" customWidth="1"/>
    <col min="12" max="16384" width="9" style="4"/>
  </cols>
  <sheetData>
    <row r="1" spans="1:8" ht="39.75" customHeight="1"/>
    <row r="2" spans="1:8" s="6" customFormat="1" ht="30" customHeight="1">
      <c r="A2" s="14" t="str">
        <f>"Chip name  :  " &amp;   tooling!$N$13  &amp; "  (" &amp; tooling!$N$15&amp; ") "</f>
        <v xml:space="preserve">Chip name  :  AMCLJR21A  (350MCSB3V100V) </v>
      </c>
      <c r="D2" s="73"/>
    </row>
    <row r="3" spans="1:8" s="6" customFormat="1" ht="9.9499999999999993" customHeight="1">
      <c r="A3" s="15"/>
      <c r="D3" s="73"/>
    </row>
    <row r="4" spans="1:8" ht="18.95" customHeight="1">
      <c r="A4" s="141" t="s">
        <v>136</v>
      </c>
      <c r="B4" s="141" t="s">
        <v>32</v>
      </c>
      <c r="C4" s="142" t="s">
        <v>137</v>
      </c>
      <c r="D4" s="141" t="s">
        <v>138</v>
      </c>
      <c r="E4" s="141" t="s">
        <v>139</v>
      </c>
      <c r="F4" s="141" t="s">
        <v>140</v>
      </c>
      <c r="G4" s="190" t="s">
        <v>161</v>
      </c>
      <c r="H4" s="143" t="s">
        <v>141</v>
      </c>
    </row>
    <row r="5" spans="1:8" ht="18.95" customHeight="1">
      <c r="A5" s="41">
        <v>46017</v>
      </c>
      <c r="B5" s="42" t="s">
        <v>142</v>
      </c>
      <c r="C5" s="144" t="s">
        <v>144</v>
      </c>
      <c r="D5" s="74" t="s">
        <v>293</v>
      </c>
      <c r="E5" s="74">
        <v>0</v>
      </c>
      <c r="F5" s="41" t="s">
        <v>143</v>
      </c>
      <c r="G5" s="381" t="s">
        <v>294</v>
      </c>
      <c r="H5" s="144"/>
    </row>
    <row r="6" spans="1:8" ht="18.95" customHeight="1">
      <c r="A6" s="373">
        <v>46027</v>
      </c>
      <c r="B6" s="382" t="s">
        <v>411</v>
      </c>
      <c r="C6" s="383" t="s">
        <v>412</v>
      </c>
      <c r="D6" s="375" t="s">
        <v>293</v>
      </c>
      <c r="E6" s="377">
        <v>0</v>
      </c>
      <c r="F6" s="371" t="s">
        <v>44</v>
      </c>
      <c r="G6" s="379" t="s">
        <v>410</v>
      </c>
      <c r="H6" s="384" t="s">
        <v>413</v>
      </c>
    </row>
    <row r="7" spans="1:8" ht="18.95" customHeight="1">
      <c r="A7" s="374"/>
      <c r="B7" s="382" t="s">
        <v>420</v>
      </c>
      <c r="C7" s="383" t="s">
        <v>419</v>
      </c>
      <c r="D7" s="376"/>
      <c r="E7" s="378"/>
      <c r="F7" s="372"/>
      <c r="G7" s="380"/>
      <c r="H7" s="384" t="s">
        <v>421</v>
      </c>
    </row>
    <row r="8" spans="1:8" ht="18.95" customHeight="1">
      <c r="A8" s="41"/>
      <c r="B8" s="42"/>
      <c r="C8" s="144"/>
      <c r="D8" s="145"/>
      <c r="E8" s="74"/>
      <c r="F8" s="41"/>
      <c r="G8" s="41"/>
      <c r="H8" s="41"/>
    </row>
    <row r="9" spans="1:8" ht="18.95" customHeight="1">
      <c r="A9" s="41"/>
      <c r="B9" s="42"/>
      <c r="C9" s="144"/>
      <c r="D9" s="145"/>
      <c r="E9" s="74"/>
      <c r="F9" s="41"/>
      <c r="G9" s="41"/>
      <c r="H9" s="41"/>
    </row>
    <row r="10" spans="1:8" ht="18.95" customHeight="1">
      <c r="A10" s="41"/>
      <c r="B10" s="42"/>
      <c r="C10" s="144"/>
      <c r="D10" s="145"/>
      <c r="E10" s="74"/>
      <c r="F10" s="41"/>
      <c r="G10" s="167"/>
      <c r="H10" s="41"/>
    </row>
    <row r="11" spans="1:8" ht="18.95" customHeight="1">
      <c r="A11" s="41"/>
      <c r="B11" s="42"/>
      <c r="C11" s="144"/>
      <c r="D11" s="145"/>
      <c r="E11" s="74"/>
      <c r="F11" s="41"/>
      <c r="G11" s="41"/>
      <c r="H11" s="41"/>
    </row>
    <row r="12" spans="1:8" ht="18.95" customHeight="1">
      <c r="A12" s="41"/>
      <c r="B12" s="42"/>
      <c r="C12" s="144"/>
      <c r="D12" s="145"/>
      <c r="E12" s="74"/>
      <c r="F12" s="41"/>
      <c r="G12" s="41"/>
      <c r="H12" s="41"/>
    </row>
    <row r="13" spans="1:8" ht="18.95" customHeight="1">
      <c r="A13" s="41"/>
      <c r="B13" s="42"/>
      <c r="C13" s="144"/>
      <c r="D13" s="145"/>
      <c r="E13" s="74"/>
      <c r="F13" s="41"/>
      <c r="G13" s="41"/>
      <c r="H13" s="41"/>
    </row>
    <row r="14" spans="1:8" ht="18.95" customHeight="1">
      <c r="A14" s="41"/>
      <c r="B14" s="42"/>
      <c r="C14" s="144"/>
      <c r="D14" s="145"/>
      <c r="E14" s="74"/>
      <c r="F14" s="41"/>
      <c r="G14" s="41"/>
      <c r="H14" s="41"/>
    </row>
    <row r="15" spans="1:8" ht="18.95" customHeight="1">
      <c r="A15" s="41"/>
      <c r="B15" s="42"/>
      <c r="C15" s="144"/>
      <c r="D15" s="145"/>
      <c r="E15" s="74"/>
      <c r="F15" s="41"/>
      <c r="G15" s="41"/>
      <c r="H15" s="41"/>
    </row>
    <row r="16" spans="1:8" ht="18.95" customHeight="1">
      <c r="A16" s="41"/>
      <c r="B16" s="42"/>
      <c r="C16" s="144"/>
      <c r="D16" s="145"/>
      <c r="E16" s="74"/>
      <c r="F16" s="41"/>
      <c r="G16" s="41"/>
      <c r="H16" s="41"/>
    </row>
    <row r="17" spans="1:8" ht="18.95" customHeight="1">
      <c r="A17" s="41"/>
      <c r="B17" s="42"/>
      <c r="C17" s="144"/>
      <c r="D17" s="145"/>
      <c r="E17" s="74"/>
      <c r="F17" s="41"/>
      <c r="G17" s="41"/>
      <c r="H17" s="41"/>
    </row>
    <row r="18" spans="1:8" ht="18.95" customHeight="1">
      <c r="C18" s="31"/>
      <c r="D18" s="146"/>
    </row>
    <row r="19" spans="1:8" ht="18.95" customHeight="1">
      <c r="C19" s="31"/>
      <c r="D19" s="146"/>
    </row>
    <row r="20" spans="1:8" ht="18.95" customHeight="1">
      <c r="C20" s="31"/>
      <c r="D20" s="146"/>
    </row>
  </sheetData>
  <mergeCells count="5">
    <mergeCell ref="A6:A7"/>
    <mergeCell ref="D6:D7"/>
    <mergeCell ref="E6:E7"/>
    <mergeCell ref="F6:F7"/>
    <mergeCell ref="G6:G7"/>
  </mergeCells>
  <phoneticPr fontId="8" type="noConversion"/>
  <printOptions horizontalCentered="1"/>
  <pageMargins left="0.39370078740157483" right="0.39370078740157483" top="0.39370078740157483" bottom="0.39370078740157483" header="0.19685039370078741" footer="0.19685039370078741"/>
  <pageSetup paperSize="9" scale="75" orientation="landscape" r:id="rId1"/>
  <headerFooter alignWithMargins="0">
    <oddFooter>&amp;C&amp;"Arial,標準"( &amp;P / &amp;N )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">
    <pageSetUpPr fitToPage="1"/>
  </sheetPr>
  <dimension ref="A1:J395"/>
  <sheetViews>
    <sheetView zoomScale="75" zoomScaleNormal="75" workbookViewId="0">
      <selection activeCell="D38" sqref="D38"/>
    </sheetView>
  </sheetViews>
  <sheetFormatPr defaultRowHeight="16.5"/>
  <cols>
    <col min="1" max="1" width="9" style="110"/>
    <col min="2" max="3" width="15.625" style="110" customWidth="1"/>
    <col min="4" max="4" width="50.625" style="110" customWidth="1"/>
    <col min="5" max="16384" width="9" style="110"/>
  </cols>
  <sheetData>
    <row r="1" spans="1:10" ht="8.25" customHeight="1">
      <c r="A1" s="112"/>
      <c r="B1" s="112"/>
      <c r="C1" s="112"/>
      <c r="D1" s="112"/>
      <c r="E1" s="112"/>
      <c r="F1" s="112"/>
      <c r="G1" s="112"/>
      <c r="H1" s="112"/>
      <c r="I1" s="112"/>
      <c r="J1" s="112"/>
    </row>
    <row r="2" spans="1:10" ht="26.25" customHeight="1">
      <c r="A2" s="111" t="s">
        <v>64</v>
      </c>
      <c r="B2" s="112"/>
      <c r="C2" s="112"/>
      <c r="D2" s="112"/>
      <c r="E2" s="112"/>
      <c r="F2" s="112"/>
      <c r="G2" s="112"/>
      <c r="H2" s="112"/>
      <c r="I2" s="112"/>
      <c r="J2" s="112"/>
    </row>
    <row r="3" spans="1:10" ht="18.95" customHeight="1">
      <c r="A3" s="112"/>
      <c r="B3" s="113"/>
      <c r="C3" s="112"/>
      <c r="D3" s="112"/>
      <c r="E3" s="112"/>
      <c r="F3" s="112"/>
      <c r="G3" s="112"/>
      <c r="H3" s="112"/>
      <c r="I3" s="112"/>
      <c r="J3" s="112"/>
    </row>
    <row r="4" spans="1:10" ht="18.95" customHeight="1">
      <c r="A4" s="114" t="s">
        <v>65</v>
      </c>
      <c r="B4" s="113"/>
      <c r="C4" s="112"/>
      <c r="D4" s="112"/>
      <c r="E4" s="112"/>
      <c r="F4" s="112"/>
      <c r="G4" s="112"/>
      <c r="H4" s="112"/>
      <c r="I4" s="112"/>
      <c r="J4" s="112"/>
    </row>
    <row r="5" spans="1:10" ht="18.95" customHeight="1">
      <c r="A5" s="165" t="s">
        <v>164</v>
      </c>
      <c r="B5" s="113"/>
      <c r="C5" s="112"/>
      <c r="D5" s="112"/>
      <c r="E5" s="112"/>
      <c r="F5" s="112"/>
      <c r="G5" s="112"/>
      <c r="H5" s="112"/>
      <c r="I5" s="112"/>
      <c r="J5" s="112"/>
    </row>
    <row r="6" spans="1:10" ht="18.95" customHeight="1">
      <c r="A6" s="114"/>
      <c r="B6" s="188" t="s">
        <v>165</v>
      </c>
      <c r="C6" s="112"/>
      <c r="D6" s="112"/>
      <c r="E6" s="112"/>
      <c r="F6" s="112"/>
      <c r="G6" s="112"/>
      <c r="H6" s="112"/>
      <c r="I6" s="112"/>
      <c r="J6" s="112"/>
    </row>
    <row r="7" spans="1:10" ht="18.95" customHeight="1">
      <c r="A7" s="114"/>
      <c r="B7" s="189" t="s">
        <v>166</v>
      </c>
      <c r="C7" s="112"/>
      <c r="D7" s="112"/>
      <c r="E7" s="112"/>
      <c r="F7" s="112"/>
      <c r="G7" s="112"/>
      <c r="H7" s="112"/>
      <c r="I7" s="112"/>
      <c r="J7" s="112"/>
    </row>
    <row r="8" spans="1:10" ht="18.95" customHeight="1">
      <c r="A8" s="115" t="s">
        <v>66</v>
      </c>
      <c r="B8" s="113"/>
      <c r="C8" s="112"/>
      <c r="D8" s="112"/>
      <c r="E8" s="112"/>
      <c r="F8" s="112"/>
      <c r="G8" s="112"/>
      <c r="H8" s="112"/>
      <c r="I8" s="112"/>
      <c r="J8" s="112"/>
    </row>
    <row r="9" spans="1:10" ht="18.95" customHeight="1">
      <c r="A9" s="116" t="s">
        <v>67</v>
      </c>
      <c r="B9" s="113"/>
      <c r="C9" s="112"/>
      <c r="D9" s="112"/>
      <c r="E9" s="112"/>
      <c r="F9" s="112"/>
      <c r="G9" s="112"/>
      <c r="H9" s="112"/>
      <c r="I9" s="112"/>
      <c r="J9" s="112"/>
    </row>
    <row r="10" spans="1:10" ht="18.95" customHeight="1">
      <c r="A10" s="113"/>
      <c r="B10" s="117" t="s">
        <v>68</v>
      </c>
      <c r="C10" s="117" t="s">
        <v>69</v>
      </c>
      <c r="D10" s="117" t="s">
        <v>70</v>
      </c>
      <c r="E10" s="112"/>
      <c r="F10" s="112"/>
      <c r="G10" s="112"/>
      <c r="H10" s="112"/>
      <c r="I10" s="112"/>
      <c r="J10" s="112"/>
    </row>
    <row r="11" spans="1:10" ht="18.95" customHeight="1">
      <c r="A11" s="113"/>
      <c r="B11" s="118" t="s">
        <v>62</v>
      </c>
      <c r="C11" s="118" t="s">
        <v>62</v>
      </c>
      <c r="D11" s="119" t="s">
        <v>105</v>
      </c>
      <c r="E11" s="112"/>
      <c r="F11" s="112"/>
      <c r="G11" s="112"/>
      <c r="H11" s="112"/>
      <c r="I11" s="112"/>
      <c r="J11" s="112"/>
    </row>
    <row r="12" spans="1:10" ht="18.95" customHeight="1">
      <c r="A12" s="113"/>
      <c r="B12" s="118" t="s">
        <v>63</v>
      </c>
      <c r="C12" s="118" t="s">
        <v>71</v>
      </c>
      <c r="D12" s="119" t="s">
        <v>135</v>
      </c>
      <c r="E12" s="112"/>
      <c r="F12" s="112"/>
      <c r="G12" s="112"/>
      <c r="H12" s="112"/>
      <c r="I12" s="112"/>
      <c r="J12" s="112"/>
    </row>
    <row r="13" spans="1:10" ht="18.95" customHeight="1">
      <c r="A13" s="112"/>
      <c r="B13" s="131" t="s">
        <v>113</v>
      </c>
      <c r="C13" s="131" t="s">
        <v>113</v>
      </c>
      <c r="D13" s="131" t="s">
        <v>114</v>
      </c>
      <c r="E13" s="112"/>
      <c r="F13" s="112"/>
      <c r="G13" s="112"/>
      <c r="H13" s="112"/>
      <c r="I13" s="112"/>
      <c r="J13" s="112"/>
    </row>
    <row r="14" spans="1:10" ht="18.95" customHeight="1">
      <c r="A14" s="114" t="s">
        <v>95</v>
      </c>
      <c r="B14" s="113"/>
      <c r="C14" s="112"/>
      <c r="D14" s="112"/>
      <c r="E14" s="112"/>
      <c r="F14" s="112"/>
      <c r="G14" s="112"/>
      <c r="H14" s="112"/>
      <c r="I14" s="112"/>
      <c r="J14" s="112"/>
    </row>
    <row r="15" spans="1:10" ht="18.95" customHeight="1">
      <c r="A15" s="120" t="s">
        <v>94</v>
      </c>
      <c r="B15" s="121"/>
      <c r="C15" s="112"/>
      <c r="D15" s="112"/>
      <c r="E15" s="112"/>
      <c r="F15" s="112"/>
      <c r="G15" s="112"/>
      <c r="H15" s="112"/>
      <c r="I15" s="112"/>
      <c r="J15" s="112"/>
    </row>
    <row r="16" spans="1:10" ht="18.95" customHeight="1">
      <c r="A16" s="121"/>
      <c r="B16" s="120" t="s">
        <v>108</v>
      </c>
      <c r="C16" s="112"/>
      <c r="D16" s="112"/>
      <c r="E16" s="112"/>
      <c r="F16" s="112"/>
      <c r="G16" s="112"/>
      <c r="H16" s="112"/>
      <c r="I16" s="112"/>
      <c r="J16" s="112"/>
    </row>
    <row r="17" spans="1:10" ht="18.95" customHeight="1">
      <c r="A17" s="121"/>
      <c r="B17" s="120" t="s">
        <v>109</v>
      </c>
      <c r="C17" s="112"/>
      <c r="D17" s="112"/>
      <c r="E17" s="112"/>
      <c r="F17" s="112"/>
      <c r="G17" s="112"/>
      <c r="H17" s="112"/>
      <c r="I17" s="112"/>
      <c r="J17" s="112"/>
    </row>
    <row r="18" spans="1:10" ht="18.95" customHeight="1">
      <c r="A18" s="114" t="s">
        <v>106</v>
      </c>
      <c r="B18" s="113"/>
      <c r="C18" s="112"/>
      <c r="D18" s="112"/>
      <c r="E18" s="112"/>
      <c r="F18" s="112"/>
      <c r="G18" s="112"/>
      <c r="H18" s="112"/>
      <c r="I18" s="112"/>
      <c r="J18" s="112"/>
    </row>
    <row r="19" spans="1:10" ht="18.95" customHeight="1">
      <c r="A19" s="130" t="s">
        <v>110</v>
      </c>
      <c r="B19" s="128"/>
      <c r="C19" s="128"/>
      <c r="D19" s="128"/>
      <c r="E19" s="129"/>
      <c r="F19" s="129"/>
      <c r="G19" s="112"/>
      <c r="H19" s="112"/>
      <c r="I19" s="112"/>
      <c r="J19" s="112"/>
    </row>
    <row r="20" spans="1:10" ht="18.95" customHeight="1">
      <c r="A20" s="164" t="s">
        <v>158</v>
      </c>
      <c r="B20" s="128"/>
      <c r="C20" s="128"/>
      <c r="D20" s="128"/>
      <c r="E20" s="129"/>
      <c r="F20" s="129"/>
      <c r="G20" s="112"/>
      <c r="H20" s="112"/>
      <c r="I20" s="112"/>
      <c r="J20" s="112"/>
    </row>
    <row r="21" spans="1:10" ht="18.95" customHeight="1">
      <c r="A21" s="165" t="s">
        <v>159</v>
      </c>
      <c r="B21" s="128"/>
      <c r="C21" s="128"/>
      <c r="D21" s="128"/>
      <c r="E21" s="129"/>
      <c r="F21" s="129"/>
      <c r="G21" s="112"/>
      <c r="H21" s="112"/>
      <c r="I21" s="112"/>
      <c r="J21" s="112"/>
    </row>
    <row r="22" spans="1:10" ht="18.95" customHeight="1">
      <c r="A22" s="166" t="s">
        <v>160</v>
      </c>
      <c r="B22" s="129"/>
      <c r="C22" s="129"/>
      <c r="D22" s="129"/>
      <c r="E22" s="129"/>
      <c r="F22" s="129"/>
      <c r="G22" s="112"/>
      <c r="H22" s="112"/>
      <c r="I22" s="112"/>
      <c r="J22" s="112"/>
    </row>
    <row r="23" spans="1:10" ht="18.95" customHeight="1">
      <c r="A23" s="129"/>
      <c r="B23" s="129"/>
      <c r="C23" s="129"/>
      <c r="D23" s="129"/>
      <c r="E23" s="129"/>
      <c r="F23" s="129"/>
      <c r="G23" s="112"/>
      <c r="H23" s="112"/>
      <c r="I23" s="112"/>
      <c r="J23" s="112"/>
    </row>
    <row r="24" spans="1:10" ht="18.95" customHeight="1">
      <c r="A24" s="129"/>
      <c r="B24" s="129"/>
      <c r="C24" s="129"/>
      <c r="D24" s="129"/>
      <c r="E24" s="129"/>
      <c r="F24" s="129"/>
      <c r="G24" s="112"/>
      <c r="H24" s="112"/>
      <c r="I24" s="112"/>
      <c r="J24" s="112"/>
    </row>
    <row r="25" spans="1:10" ht="26.25" customHeight="1">
      <c r="A25" s="111" t="s">
        <v>112</v>
      </c>
      <c r="B25" s="112"/>
      <c r="C25" s="112"/>
      <c r="D25" s="112"/>
      <c r="E25" s="112"/>
      <c r="F25" s="112"/>
      <c r="G25" s="112"/>
      <c r="H25" s="112"/>
      <c r="I25" s="112"/>
      <c r="J25" s="112"/>
    </row>
    <row r="26" spans="1:10" s="169" customFormat="1" ht="18.95" customHeight="1">
      <c r="A26" s="186"/>
      <c r="B26" s="168"/>
      <c r="C26" s="168"/>
      <c r="D26" s="168"/>
    </row>
    <row r="27" spans="1:10" s="169" customFormat="1" ht="18.95" customHeight="1">
      <c r="A27" s="168"/>
      <c r="B27" s="187"/>
      <c r="C27" s="168"/>
      <c r="D27" s="168"/>
    </row>
    <row r="28" spans="1:10" s="169" customFormat="1" ht="18.95" customHeight="1">
      <c r="A28" s="168"/>
      <c r="B28" s="168"/>
      <c r="C28" s="168"/>
      <c r="D28" s="168"/>
    </row>
    <row r="29" spans="1:10" s="169" customFormat="1" ht="18.95" customHeight="1">
      <c r="A29" s="168"/>
      <c r="B29" s="168"/>
      <c r="C29" s="168"/>
      <c r="D29" s="168"/>
    </row>
    <row r="30" spans="1:10" s="169" customFormat="1" ht="18.95" customHeight="1">
      <c r="A30" s="168"/>
      <c r="B30" s="168"/>
      <c r="C30" s="168"/>
      <c r="D30" s="168"/>
    </row>
    <row r="31" spans="1:10" s="169" customFormat="1" ht="18.95" customHeight="1">
      <c r="A31" s="168"/>
      <c r="B31" s="168"/>
      <c r="C31" s="168"/>
      <c r="D31" s="168"/>
    </row>
    <row r="32" spans="1:10" s="169" customFormat="1" ht="18.95" customHeight="1">
      <c r="A32" s="168"/>
      <c r="B32" s="168"/>
      <c r="C32" s="168"/>
      <c r="D32" s="168"/>
    </row>
    <row r="33" spans="1:4" s="169" customFormat="1" ht="18.95" customHeight="1">
      <c r="A33" s="168"/>
      <c r="B33" s="168"/>
      <c r="C33" s="168"/>
      <c r="D33" s="168"/>
    </row>
    <row r="34" spans="1:4" s="169" customFormat="1" ht="18.95" customHeight="1">
      <c r="A34" s="168"/>
      <c r="B34" s="168"/>
      <c r="C34" s="168"/>
      <c r="D34" s="168"/>
    </row>
    <row r="35" spans="1:4" s="169" customFormat="1" ht="18.95" customHeight="1">
      <c r="A35" s="168"/>
      <c r="B35" s="168"/>
      <c r="C35" s="168"/>
      <c r="D35" s="168"/>
    </row>
    <row r="36" spans="1:4" s="169" customFormat="1" ht="18.95" customHeight="1">
      <c r="A36" s="168"/>
      <c r="B36" s="168"/>
      <c r="C36" s="168"/>
      <c r="D36" s="168"/>
    </row>
    <row r="37" spans="1:4" s="169" customFormat="1" ht="18.95" customHeight="1"/>
    <row r="38" spans="1:4" s="169" customFormat="1" ht="18.95" customHeight="1"/>
    <row r="39" spans="1:4" ht="18.95" customHeight="1"/>
    <row r="40" spans="1:4" ht="18.95" customHeight="1"/>
    <row r="41" spans="1:4" ht="18.95" customHeight="1"/>
    <row r="42" spans="1:4" ht="18.95" customHeight="1"/>
    <row r="43" spans="1:4" ht="18.95" customHeight="1"/>
    <row r="44" spans="1:4" ht="18.95" customHeight="1"/>
    <row r="45" spans="1:4" ht="18.95" customHeight="1"/>
    <row r="46" spans="1:4" ht="18.95" customHeight="1"/>
    <row r="47" spans="1:4" ht="18.95" customHeight="1"/>
    <row r="48" spans="1:4" ht="18.95" customHeight="1"/>
    <row r="49" ht="18.95" customHeight="1"/>
    <row r="50" ht="18.95" customHeight="1"/>
    <row r="51" ht="18.95" customHeight="1"/>
    <row r="52" ht="18.95" customHeight="1"/>
    <row r="53" ht="18.95" customHeight="1"/>
    <row r="54" ht="18.95" customHeight="1"/>
    <row r="55" ht="18.95" customHeight="1"/>
    <row r="56" ht="18.95" customHeight="1"/>
    <row r="57" ht="18.95" customHeight="1"/>
    <row r="58" ht="18.95" customHeight="1"/>
    <row r="59" ht="18.95" customHeight="1"/>
    <row r="60" ht="18.95" customHeight="1"/>
    <row r="61" ht="18.95" customHeight="1"/>
    <row r="62" ht="18.95" customHeight="1"/>
    <row r="63" ht="18.95" customHeight="1"/>
    <row r="64" ht="18.95" customHeight="1"/>
    <row r="65" ht="18.95" customHeight="1"/>
    <row r="66" ht="18.95" customHeight="1"/>
    <row r="67" ht="18.95" customHeight="1"/>
    <row r="68" ht="18.95" customHeight="1"/>
    <row r="69" ht="18.95" customHeight="1"/>
    <row r="70" ht="18.95" customHeight="1"/>
    <row r="71" ht="18.95" customHeight="1"/>
    <row r="72" ht="18.95" customHeight="1"/>
    <row r="73" ht="18.95" customHeight="1"/>
    <row r="74" ht="18.95" customHeight="1"/>
    <row r="75" ht="18.95" customHeight="1"/>
    <row r="76" ht="18.95" customHeight="1"/>
    <row r="77" ht="18.95" customHeight="1"/>
    <row r="78" ht="18.95" customHeight="1"/>
    <row r="79" ht="18.95" customHeight="1"/>
    <row r="80" ht="18.95" customHeight="1"/>
    <row r="81" ht="18.95" customHeight="1"/>
    <row r="82" ht="18.95" customHeight="1"/>
    <row r="83" ht="18.95" customHeight="1"/>
    <row r="84" ht="18.95" customHeight="1"/>
    <row r="85" ht="18.95" customHeight="1"/>
    <row r="86" ht="18.95" customHeight="1"/>
    <row r="87" ht="18.95" customHeight="1"/>
    <row r="88" ht="18.95" customHeight="1"/>
    <row r="89" ht="18.95" customHeight="1"/>
    <row r="90" ht="18.95" customHeight="1"/>
    <row r="91" ht="18.95" customHeight="1"/>
    <row r="92" ht="18.95" customHeight="1"/>
    <row r="93" ht="18.95" customHeight="1"/>
    <row r="94" ht="18.95" customHeight="1"/>
    <row r="95" ht="18.95" customHeight="1"/>
    <row r="96" ht="18.95" customHeight="1"/>
    <row r="97" ht="18.95" customHeight="1"/>
    <row r="98" ht="18.95" customHeight="1"/>
    <row r="99" ht="18.95" customHeight="1"/>
    <row r="100" ht="18.95" customHeight="1"/>
    <row r="101" ht="18.95" customHeight="1"/>
    <row r="102" ht="18.95" customHeight="1"/>
    <row r="103" ht="18.95" customHeight="1"/>
    <row r="104" ht="18.95" customHeight="1"/>
    <row r="105" ht="18.95" customHeight="1"/>
    <row r="106" ht="18.95" customHeight="1"/>
    <row r="107" ht="18.95" customHeight="1"/>
    <row r="108" ht="18.95" customHeight="1"/>
    <row r="109" ht="18.95" customHeight="1"/>
    <row r="110" ht="18.95" customHeight="1"/>
    <row r="111" ht="18.95" customHeight="1"/>
    <row r="112" ht="18.95" customHeight="1"/>
    <row r="113" ht="18.95" customHeight="1"/>
    <row r="114" ht="18.95" customHeight="1"/>
    <row r="115" ht="18.95" customHeight="1"/>
    <row r="116" ht="18.95" customHeight="1"/>
    <row r="117" ht="18.95" customHeight="1"/>
    <row r="118" ht="18.95" customHeight="1"/>
    <row r="119" ht="18.95" customHeight="1"/>
    <row r="120" ht="18.95" customHeight="1"/>
    <row r="121" ht="18.95" customHeight="1"/>
    <row r="122" ht="18.95" customHeight="1"/>
    <row r="123" ht="18.95" customHeight="1"/>
    <row r="124" ht="18.95" customHeight="1"/>
    <row r="125" ht="18.95" customHeight="1"/>
    <row r="126" ht="18.95" customHeight="1"/>
    <row r="127" ht="18.95" customHeight="1"/>
    <row r="128" ht="18.95" customHeight="1"/>
    <row r="129" ht="18.95" customHeight="1"/>
    <row r="130" ht="18.95" customHeight="1"/>
    <row r="131" ht="18.95" customHeight="1"/>
    <row r="132" ht="18.95" customHeight="1"/>
    <row r="133" ht="18.95" customHeight="1"/>
    <row r="134" ht="18.95" customHeight="1"/>
    <row r="135" ht="18.95" customHeight="1"/>
    <row r="136" ht="18.95" customHeight="1"/>
    <row r="137" ht="18.95" customHeight="1"/>
    <row r="138" ht="18.95" customHeight="1"/>
    <row r="139" ht="18.95" customHeight="1"/>
    <row r="140" ht="18.95" customHeight="1"/>
    <row r="141" ht="18.95" customHeight="1"/>
    <row r="142" ht="18.95" customHeight="1"/>
    <row r="143" ht="18.95" customHeight="1"/>
    <row r="144" ht="18.95" customHeight="1"/>
    <row r="145" ht="18.95" customHeight="1"/>
    <row r="146" ht="18.95" customHeight="1"/>
    <row r="147" ht="18.95" customHeight="1"/>
    <row r="148" ht="18.95" customHeight="1"/>
    <row r="149" ht="18.95" customHeight="1"/>
    <row r="150" ht="18.95" customHeight="1"/>
    <row r="151" ht="18.95" customHeight="1"/>
    <row r="152" ht="18.95" customHeight="1"/>
    <row r="153" ht="18.95" customHeight="1"/>
    <row r="154" ht="18.95" customHeight="1"/>
    <row r="155" ht="18.95" customHeight="1"/>
    <row r="156" ht="18.95" customHeight="1"/>
    <row r="157" ht="18.95" customHeight="1"/>
    <row r="158" ht="18.95" customHeight="1"/>
    <row r="159" ht="18.95" customHeight="1"/>
    <row r="160" ht="18.95" customHeight="1"/>
    <row r="161" ht="18.95" customHeight="1"/>
    <row r="162" ht="18.95" customHeight="1"/>
    <row r="163" ht="18.95" customHeight="1"/>
    <row r="164" ht="18.95" customHeight="1"/>
    <row r="165" ht="18.95" customHeight="1"/>
    <row r="166" ht="18.95" customHeight="1"/>
    <row r="167" ht="18.95" customHeight="1"/>
    <row r="168" ht="18.95" customHeight="1"/>
    <row r="169" ht="18.95" customHeight="1"/>
    <row r="170" ht="18.95" customHeight="1"/>
    <row r="171" ht="18.95" customHeight="1"/>
    <row r="172" ht="18.95" customHeight="1"/>
    <row r="173" ht="18.95" customHeight="1"/>
    <row r="174" ht="18.95" customHeight="1"/>
    <row r="175" ht="18.95" customHeight="1"/>
    <row r="176" ht="18.95" customHeight="1"/>
    <row r="177" ht="18.95" customHeight="1"/>
    <row r="178" ht="18.95" customHeight="1"/>
    <row r="179" ht="18.95" customHeight="1"/>
    <row r="180" ht="18.95" customHeight="1"/>
    <row r="181" ht="18.95" customHeight="1"/>
    <row r="182" ht="18.95" customHeight="1"/>
    <row r="183" ht="18.95" customHeight="1"/>
    <row r="184" ht="18.95" customHeight="1"/>
    <row r="185" ht="18.95" customHeight="1"/>
    <row r="186" ht="18.95" customHeight="1"/>
    <row r="187" ht="18.95" customHeight="1"/>
    <row r="188" ht="18.95" customHeight="1"/>
    <row r="189" ht="18.95" customHeight="1"/>
    <row r="190" ht="18.95" customHeight="1"/>
    <row r="191" ht="18.95" customHeight="1"/>
    <row r="192" ht="18.95" customHeight="1"/>
    <row r="193" ht="18.95" customHeight="1"/>
    <row r="194" ht="18.95" customHeight="1"/>
    <row r="195" ht="18.95" customHeight="1"/>
    <row r="196" ht="18.95" customHeight="1"/>
    <row r="197" ht="18.95" customHeight="1"/>
    <row r="198" ht="18.95" customHeight="1"/>
    <row r="199" ht="18.95" customHeight="1"/>
    <row r="200" ht="18.95" customHeight="1"/>
    <row r="201" ht="18.95" customHeight="1"/>
    <row r="202" ht="18.95" customHeight="1"/>
    <row r="203" ht="18.95" customHeight="1"/>
    <row r="204" ht="18.95" customHeight="1"/>
    <row r="205" ht="18.95" customHeight="1"/>
    <row r="206" ht="18.95" customHeight="1"/>
    <row r="207" ht="18.95" customHeight="1"/>
    <row r="208" ht="18.95" customHeight="1"/>
    <row r="209" ht="18.95" customHeight="1"/>
    <row r="210" ht="18.95" customHeight="1"/>
    <row r="211" ht="18.95" customHeight="1"/>
    <row r="212" ht="18.95" customHeight="1"/>
    <row r="213" ht="18.95" customHeight="1"/>
    <row r="214" ht="18.95" customHeight="1"/>
    <row r="215" ht="18.95" customHeight="1"/>
    <row r="216" ht="18.95" customHeight="1"/>
    <row r="217" ht="18.95" customHeight="1"/>
    <row r="218" ht="18.95" customHeight="1"/>
    <row r="219" ht="18.95" customHeight="1"/>
    <row r="220" ht="18.95" customHeight="1"/>
    <row r="221" ht="18.95" customHeight="1"/>
    <row r="222" ht="18.95" customHeight="1"/>
    <row r="223" ht="18.95" customHeight="1"/>
    <row r="224" ht="18.95" customHeight="1"/>
    <row r="225" ht="18.95" customHeight="1"/>
    <row r="226" ht="18.95" customHeight="1"/>
    <row r="227" ht="18.95" customHeight="1"/>
    <row r="228" ht="18.95" customHeight="1"/>
    <row r="229" ht="18.95" customHeight="1"/>
    <row r="230" ht="18.95" customHeight="1"/>
    <row r="231" ht="18.95" customHeight="1"/>
    <row r="232" ht="18.95" customHeight="1"/>
    <row r="233" ht="18.95" customHeight="1"/>
    <row r="234" ht="18.95" customHeight="1"/>
    <row r="235" ht="18.95" customHeight="1"/>
    <row r="236" ht="18.95" customHeight="1"/>
    <row r="237" ht="18.95" customHeight="1"/>
    <row r="238" ht="18.95" customHeight="1"/>
    <row r="239" ht="18.95" customHeight="1"/>
    <row r="240" ht="18.95" customHeight="1"/>
    <row r="241" ht="18.95" customHeight="1"/>
    <row r="242" ht="18.95" customHeight="1"/>
    <row r="243" ht="18.95" customHeight="1"/>
    <row r="244" ht="18.95" customHeight="1"/>
    <row r="245" ht="18.95" customHeight="1"/>
    <row r="246" ht="18.95" customHeight="1"/>
    <row r="247" ht="18.95" customHeight="1"/>
    <row r="248" ht="18.95" customHeight="1"/>
    <row r="249" ht="18.95" customHeight="1"/>
    <row r="250" ht="18.95" customHeight="1"/>
    <row r="251" ht="18.95" customHeight="1"/>
    <row r="252" ht="18.95" customHeight="1"/>
    <row r="253" ht="18.95" customHeight="1"/>
    <row r="254" ht="18.95" customHeight="1"/>
    <row r="255" ht="18.95" customHeight="1"/>
    <row r="256" ht="18.95" customHeight="1"/>
    <row r="257" ht="18.95" customHeight="1"/>
    <row r="258" ht="18.95" customHeight="1"/>
    <row r="259" ht="18.95" customHeight="1"/>
    <row r="260" ht="18.95" customHeight="1"/>
    <row r="261" ht="18.95" customHeight="1"/>
    <row r="262" ht="18.95" customHeight="1"/>
    <row r="263" ht="18.95" customHeight="1"/>
    <row r="264" ht="18.95" customHeight="1"/>
    <row r="265" ht="18.95" customHeight="1"/>
    <row r="266" ht="18.95" customHeight="1"/>
    <row r="267" ht="18.95" customHeight="1"/>
    <row r="268" ht="18.95" customHeight="1"/>
    <row r="269" ht="18.95" customHeight="1"/>
    <row r="270" ht="18.95" customHeight="1"/>
    <row r="271" ht="18.95" customHeight="1"/>
    <row r="272" ht="18.95" customHeight="1"/>
    <row r="273" ht="18.95" customHeight="1"/>
    <row r="274" ht="18.95" customHeight="1"/>
    <row r="275" ht="18.95" customHeight="1"/>
    <row r="276" ht="18.95" customHeight="1"/>
    <row r="277" ht="18.95" customHeight="1"/>
    <row r="278" ht="18.95" customHeight="1"/>
    <row r="279" ht="18.95" customHeight="1"/>
    <row r="280" ht="18.95" customHeight="1"/>
    <row r="281" ht="18.95" customHeight="1"/>
    <row r="282" ht="18.95" customHeight="1"/>
    <row r="283" ht="18.95" customHeight="1"/>
    <row r="284" ht="18.95" customHeight="1"/>
    <row r="285" ht="18.95" customHeight="1"/>
    <row r="286" ht="18.95" customHeight="1"/>
    <row r="287" ht="18.95" customHeight="1"/>
    <row r="288" ht="18.95" customHeight="1"/>
    <row r="289" ht="18.95" customHeight="1"/>
    <row r="290" ht="18.95" customHeight="1"/>
    <row r="291" ht="18.95" customHeight="1"/>
    <row r="292" ht="18.95" customHeight="1"/>
    <row r="293" ht="18.95" customHeight="1"/>
    <row r="294" ht="18.95" customHeight="1"/>
    <row r="295" ht="18.95" customHeight="1"/>
    <row r="296" ht="18.95" customHeight="1"/>
    <row r="297" ht="18.95" customHeight="1"/>
    <row r="298" ht="18.95" customHeight="1"/>
    <row r="299" ht="18.95" customHeight="1"/>
    <row r="300" ht="18.95" customHeight="1"/>
    <row r="301" ht="18.95" customHeight="1"/>
    <row r="302" ht="18.95" customHeight="1"/>
    <row r="303" ht="18.95" customHeight="1"/>
    <row r="304" ht="18.95" customHeight="1"/>
    <row r="305" ht="18.95" customHeight="1"/>
    <row r="306" ht="18.95" customHeight="1"/>
    <row r="307" ht="18.95" customHeight="1"/>
    <row r="308" ht="18.95" customHeight="1"/>
    <row r="309" ht="18.95" customHeight="1"/>
    <row r="310" ht="18.95" customHeight="1"/>
    <row r="311" ht="18.95" customHeight="1"/>
    <row r="312" ht="18.95" customHeight="1"/>
    <row r="313" ht="18.95" customHeight="1"/>
    <row r="314" ht="18.95" customHeight="1"/>
    <row r="315" ht="18.95" customHeight="1"/>
    <row r="316" ht="18.95" customHeight="1"/>
    <row r="317" ht="18.95" customHeight="1"/>
    <row r="318" ht="18.95" customHeight="1"/>
    <row r="319" ht="18.95" customHeight="1"/>
    <row r="320" ht="18.95" customHeight="1"/>
    <row r="321" ht="18.95" customHeight="1"/>
    <row r="322" ht="18.95" customHeight="1"/>
    <row r="323" ht="18.95" customHeight="1"/>
    <row r="324" ht="18.95" customHeight="1"/>
    <row r="325" ht="18.95" customHeight="1"/>
    <row r="326" ht="18.95" customHeight="1"/>
    <row r="327" ht="18.95" customHeight="1"/>
    <row r="328" ht="18.95" customHeight="1"/>
    <row r="329" ht="18.95" customHeight="1"/>
    <row r="330" ht="18.95" customHeight="1"/>
    <row r="331" ht="18.95" customHeight="1"/>
    <row r="332" ht="18.95" customHeight="1"/>
    <row r="333" ht="18.95" customHeight="1"/>
    <row r="334" ht="18.95" customHeight="1"/>
    <row r="335" ht="18.95" customHeight="1"/>
    <row r="336" ht="18.95" customHeight="1"/>
    <row r="337" ht="18.95" customHeight="1"/>
    <row r="338" ht="18.95" customHeight="1"/>
    <row r="339" ht="18.95" customHeight="1"/>
    <row r="340" ht="18.95" customHeight="1"/>
    <row r="341" ht="18.95" customHeight="1"/>
    <row r="342" ht="18.95" customHeight="1"/>
    <row r="343" ht="18.95" customHeight="1"/>
    <row r="344" ht="18.95" customHeight="1"/>
    <row r="345" ht="18.95" customHeight="1"/>
    <row r="346" ht="18.95" customHeight="1"/>
    <row r="347" ht="18.95" customHeight="1"/>
    <row r="348" ht="18.95" customHeight="1"/>
    <row r="349" ht="18.95" customHeight="1"/>
    <row r="350" ht="18.95" customHeight="1"/>
    <row r="351" ht="18.95" customHeight="1"/>
    <row r="352" ht="18.95" customHeight="1"/>
    <row r="353" ht="18.95" customHeight="1"/>
    <row r="354" ht="18.95" customHeight="1"/>
    <row r="355" ht="18.95" customHeight="1"/>
    <row r="356" ht="18.95" customHeight="1"/>
    <row r="357" ht="18.95" customHeight="1"/>
    <row r="358" ht="18.95" customHeight="1"/>
    <row r="359" ht="18.95" customHeight="1"/>
    <row r="360" ht="18.95" customHeight="1"/>
    <row r="361" ht="18.95" customHeight="1"/>
    <row r="362" ht="18.95" customHeight="1"/>
    <row r="363" ht="18.95" customHeight="1"/>
    <row r="364" ht="18.95" customHeight="1"/>
    <row r="365" ht="18.95" customHeight="1"/>
    <row r="366" ht="18.95" customHeight="1"/>
    <row r="367" ht="18.95" customHeight="1"/>
    <row r="368" ht="18.95" customHeight="1"/>
    <row r="369" ht="18.95" customHeight="1"/>
    <row r="370" ht="18.95" customHeight="1"/>
    <row r="371" ht="18.95" customHeight="1"/>
    <row r="372" ht="18.95" customHeight="1"/>
    <row r="373" ht="18.95" customHeight="1"/>
    <row r="374" ht="18.95" customHeight="1"/>
    <row r="375" ht="18.95" customHeight="1"/>
    <row r="376" ht="18.95" customHeight="1"/>
    <row r="377" ht="18.95" customHeight="1"/>
    <row r="378" ht="18.95" customHeight="1"/>
    <row r="379" ht="18.95" customHeight="1"/>
    <row r="380" ht="18.95" customHeight="1"/>
    <row r="381" ht="18.95" customHeight="1"/>
    <row r="382" ht="18.95" customHeight="1"/>
    <row r="383" ht="18.95" customHeight="1"/>
    <row r="384" ht="18.95" customHeight="1"/>
    <row r="385" ht="18.95" customHeight="1"/>
    <row r="386" ht="18.95" customHeight="1"/>
    <row r="387" ht="18.95" customHeight="1"/>
    <row r="388" ht="18.95" customHeight="1"/>
    <row r="389" ht="18.95" customHeight="1"/>
    <row r="390" ht="18.95" customHeight="1"/>
    <row r="391" ht="18.95" customHeight="1"/>
    <row r="392" ht="18.95" customHeight="1"/>
    <row r="393" ht="18.95" customHeight="1"/>
    <row r="394" ht="18.95" customHeight="1"/>
    <row r="395" ht="18.95" customHeight="1"/>
  </sheetData>
  <sheetProtection algorithmName="SHA-512" hashValue="oFQShX3VP/pHOGC20dU5vqZ2gtWiVyDVkwAZXlMItCdO6pSUDdf6/0eefhqxq5kt5NlETsBpU+Vv9ibg2Bj7xw==" saltValue="0FO6ozXUY5OWY1WmDOC0jg==" spinCount="100000" sheet="1" objects="1" scenarios="1" formatCells="0" formatColumns="0" formatRows="0" deleteColumns="0" deleteRows="0"/>
  <phoneticPr fontId="8" type="noConversion"/>
  <pageMargins left="0.39370078740157483" right="0.39370078740157483" top="0.39370078740157483" bottom="0.39370078740157483" header="0.31496062992125984" footer="0.31496062992125984"/>
  <pageSetup paperSize="9" scale="96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">
    <pageSetUpPr fitToPage="1"/>
  </sheetPr>
  <dimension ref="A1:EW54"/>
  <sheetViews>
    <sheetView tabSelected="1" topLeftCell="J1" zoomScale="75" zoomScaleNormal="75" workbookViewId="0">
      <selection activeCell="DK30" sqref="DK30:DM30"/>
    </sheetView>
  </sheetViews>
  <sheetFormatPr defaultRowHeight="18" customHeight="1"/>
  <cols>
    <col min="1" max="8" width="8.625" style="4" hidden="1" customWidth="1"/>
    <col min="9" max="9" width="0.125" style="4" hidden="1" customWidth="1"/>
    <col min="10" max="10" width="3.5" style="58" customWidth="1"/>
    <col min="11" max="11" width="6.625" style="4" customWidth="1"/>
    <col min="12" max="12" width="5.625" style="4" customWidth="1"/>
    <col min="13" max="13" width="6.625" style="4" customWidth="1"/>
    <col min="14" max="14" width="12.625" style="4" customWidth="1"/>
    <col min="15" max="15" width="8.625" style="4" customWidth="1"/>
    <col min="16" max="16" width="4.25" style="4" customWidth="1"/>
    <col min="17" max="17" width="10.875" style="4" customWidth="1"/>
    <col min="18" max="18" width="5.625" style="4" hidden="1" customWidth="1"/>
    <col min="19" max="19" width="8.625" style="4" customWidth="1"/>
    <col min="20" max="20" width="10.625" style="4" customWidth="1"/>
    <col min="21" max="26" width="9" style="4" hidden="1" customWidth="1"/>
    <col min="27" max="28" width="13.625" style="4" customWidth="1"/>
    <col min="29" max="29" width="16.625" style="4" customWidth="1"/>
    <col min="30" max="30" width="10.625" style="4" customWidth="1"/>
    <col min="31" max="31" width="7.625" style="4" customWidth="1"/>
    <col min="32" max="32" width="20.625" style="4" customWidth="1"/>
    <col min="33" max="33" width="11.625" style="4" customWidth="1"/>
    <col min="34" max="34" width="7.625" style="4" customWidth="1"/>
    <col min="35" max="35" width="20.625" style="4" customWidth="1"/>
    <col min="36" max="36" width="11.625" style="4" customWidth="1"/>
    <col min="37" max="37" width="7.625" style="4" customWidth="1"/>
    <col min="38" max="38" width="20.625" style="4" customWidth="1"/>
    <col min="39" max="39" width="11.625" style="4" customWidth="1"/>
    <col min="40" max="40" width="7.625" style="4" customWidth="1"/>
    <col min="41" max="41" width="20.625" style="4" customWidth="1"/>
    <col min="42" max="42" width="11.625" style="4" customWidth="1"/>
    <col min="43" max="43" width="7.625" style="4" customWidth="1"/>
    <col min="44" max="44" width="20.625" style="4" customWidth="1"/>
    <col min="45" max="45" width="11.625" style="4" customWidth="1"/>
    <col min="46" max="46" width="7.625" style="4" customWidth="1"/>
    <col min="47" max="47" width="20.625" style="4" customWidth="1"/>
    <col min="48" max="48" width="11.625" style="4" customWidth="1"/>
    <col min="49" max="49" width="7.625" style="4" customWidth="1"/>
    <col min="50" max="50" width="20.625" style="4" customWidth="1"/>
    <col min="51" max="51" width="11.625" style="4" customWidth="1"/>
    <col min="52" max="52" width="7.625" style="4" customWidth="1"/>
    <col min="53" max="53" width="20.625" style="4" customWidth="1"/>
    <col min="54" max="54" width="11.625" style="4" customWidth="1"/>
    <col min="55" max="55" width="7.625" style="4" customWidth="1"/>
    <col min="56" max="56" width="20.625" style="4" customWidth="1"/>
    <col min="57" max="57" width="11.625" style="4" customWidth="1"/>
    <col min="58" max="58" width="7.625" style="4" customWidth="1"/>
    <col min="59" max="59" width="20.625" style="4" customWidth="1"/>
    <col min="60" max="60" width="11.625" style="4" customWidth="1"/>
    <col min="61" max="61" width="7.625" style="4" customWidth="1"/>
    <col min="62" max="62" width="20.625" style="4" customWidth="1"/>
    <col min="63" max="63" width="11.625" style="4" customWidth="1"/>
    <col min="64" max="64" width="7.625" style="4" customWidth="1"/>
    <col min="65" max="65" width="20.625" style="4" customWidth="1"/>
    <col min="66" max="66" width="11.625" style="4" customWidth="1"/>
    <col min="67" max="67" width="7.625" style="4" customWidth="1"/>
    <col min="68" max="68" width="20.625" style="4" customWidth="1"/>
    <col min="69" max="69" width="11.625" style="4" customWidth="1"/>
    <col min="70" max="70" width="7.625" style="4" customWidth="1"/>
    <col min="71" max="71" width="20.625" style="4" customWidth="1"/>
    <col min="72" max="72" width="11.625" style="4" customWidth="1"/>
    <col min="73" max="73" width="7.625" style="4" customWidth="1"/>
    <col min="74" max="74" width="20.625" style="4" customWidth="1"/>
    <col min="75" max="75" width="11.625" style="4" customWidth="1"/>
    <col min="76" max="76" width="7.625" style="4" customWidth="1"/>
    <col min="77" max="77" width="20.625" style="4" customWidth="1"/>
    <col min="78" max="78" width="11.625" style="4" customWidth="1"/>
    <col min="79" max="79" width="7.625" style="4" customWidth="1"/>
    <col min="80" max="80" width="20.625" style="4" customWidth="1"/>
    <col min="81" max="81" width="11.625" style="4" customWidth="1"/>
    <col min="82" max="82" width="7.625" style="4" customWidth="1"/>
    <col min="83" max="83" width="20.625" style="4" customWidth="1"/>
    <col min="84" max="84" width="11.625" style="4" customWidth="1"/>
    <col min="85" max="85" width="7.625" style="4" customWidth="1"/>
    <col min="86" max="86" width="20.625" style="4" customWidth="1"/>
    <col min="87" max="87" width="11.625" style="4" customWidth="1"/>
    <col min="88" max="88" width="7.625" style="4" customWidth="1"/>
    <col min="89" max="89" width="20.625" style="4" customWidth="1"/>
    <col min="90" max="90" width="11.625" style="4" customWidth="1"/>
    <col min="91" max="91" width="7.625" style="4" customWidth="1"/>
    <col min="92" max="92" width="20.625" style="4" customWidth="1"/>
    <col min="93" max="93" width="11.625" style="4" customWidth="1"/>
    <col min="94" max="94" width="7.625" style="4" customWidth="1"/>
    <col min="95" max="95" width="20.625" style="4" customWidth="1"/>
    <col min="96" max="96" width="11.625" style="4" customWidth="1"/>
    <col min="97" max="97" width="7.625" style="4" customWidth="1"/>
    <col min="98" max="98" width="20.625" style="4" customWidth="1"/>
    <col min="99" max="99" width="11.625" style="4" customWidth="1"/>
    <col min="100" max="100" width="7.625" style="4" customWidth="1"/>
    <col min="101" max="101" width="20.625" style="4" customWidth="1"/>
    <col min="102" max="102" width="11.625" style="4" customWidth="1"/>
    <col min="103" max="103" width="7.625" style="4" customWidth="1"/>
    <col min="104" max="104" width="20.625" style="4" customWidth="1"/>
    <col min="105" max="105" width="11.625" style="4" customWidth="1"/>
    <col min="106" max="106" width="7.625" style="4" customWidth="1"/>
    <col min="107" max="107" width="20.625" style="4" customWidth="1"/>
    <col min="108" max="108" width="11.625" style="4" customWidth="1"/>
    <col min="109" max="109" width="7.625" style="4" customWidth="1"/>
    <col min="110" max="110" width="20.625" style="4" customWidth="1"/>
    <col min="111" max="111" width="11.625" style="4" customWidth="1"/>
    <col min="112" max="112" width="7.625" style="4" customWidth="1"/>
    <col min="113" max="113" width="20.625" style="4" customWidth="1"/>
    <col min="114" max="114" width="11.625" style="4" customWidth="1"/>
    <col min="115" max="115" width="7.625" style="4" customWidth="1"/>
    <col min="116" max="116" width="20.625" style="4" customWidth="1"/>
    <col min="117" max="117" width="11.625" style="4" customWidth="1"/>
    <col min="118" max="118" width="7.625" style="4" customWidth="1"/>
    <col min="119" max="119" width="20.625" style="4" customWidth="1"/>
    <col min="120" max="120" width="11.625" style="4" customWidth="1"/>
    <col min="121" max="121" width="7.625" style="4" customWidth="1"/>
    <col min="122" max="122" width="20.625" style="4" customWidth="1"/>
    <col min="123" max="123" width="11.625" style="4" customWidth="1"/>
    <col min="124" max="124" width="7.625" style="4" customWidth="1"/>
    <col min="125" max="125" width="20.625" style="4" customWidth="1"/>
    <col min="126" max="126" width="11.625" style="4" customWidth="1"/>
    <col min="127" max="127" width="7.625" style="4" customWidth="1"/>
    <col min="128" max="128" width="20.625" style="4" customWidth="1"/>
    <col min="129" max="129" width="11.625" style="4" customWidth="1"/>
    <col min="130" max="130" width="7.625" style="4" customWidth="1"/>
    <col min="131" max="131" width="20.625" style="4" customWidth="1"/>
    <col min="132" max="132" width="11.625" style="4" customWidth="1"/>
    <col min="133" max="133" width="7.625" style="4" customWidth="1"/>
    <col min="134" max="134" width="20.625" style="4" customWidth="1"/>
    <col min="135" max="135" width="11.625" style="4" customWidth="1"/>
    <col min="136" max="136" width="7.625" style="4" customWidth="1"/>
    <col min="137" max="137" width="20.625" style="4" customWidth="1"/>
    <col min="138" max="138" width="11.625" style="4" customWidth="1"/>
    <col min="139" max="139" width="7.625" style="4" customWidth="1"/>
    <col min="140" max="140" width="20.625" style="4" customWidth="1"/>
    <col min="141" max="141" width="11.625" style="4" customWidth="1"/>
    <col min="142" max="142" width="7.625" style="4" customWidth="1"/>
    <col min="143" max="143" width="20.625" style="4" customWidth="1"/>
    <col min="144" max="144" width="11.625" style="4" customWidth="1"/>
    <col min="145" max="145" width="7.625" style="4" customWidth="1"/>
    <col min="146" max="146" width="20.625" style="4" customWidth="1"/>
    <col min="147" max="147" width="11.625" style="4" customWidth="1"/>
    <col min="148" max="148" width="7.625" style="4" customWidth="1"/>
    <col min="149" max="149" width="20.625" style="4" customWidth="1"/>
    <col min="150" max="150" width="11.625" style="4" customWidth="1"/>
    <col min="151" max="151" width="7.625" style="4" customWidth="1"/>
    <col min="152" max="152" width="20.625" style="4" customWidth="1"/>
    <col min="153" max="153" width="11.625" style="4" customWidth="1"/>
    <col min="154" max="16384" width="9" style="4"/>
  </cols>
  <sheetData>
    <row r="1" spans="10:153" s="154" customFormat="1" ht="30" customHeight="1">
      <c r="J1" s="153"/>
      <c r="AC1" s="297" t="s">
        <v>148</v>
      </c>
      <c r="AD1" s="297"/>
      <c r="AE1" s="297" t="s">
        <v>147</v>
      </c>
      <c r="AF1" s="297"/>
      <c r="AG1" s="297"/>
      <c r="AH1" s="298" t="str">
        <f>IF(AI3=AI5,"OK","Size-X: NG-Please Check Chip Size ")</f>
        <v>OK</v>
      </c>
      <c r="AI1" s="298"/>
      <c r="AJ1" s="298"/>
      <c r="AK1" s="298" t="str">
        <f>IF(AL3=AL5,"OK","Size-X: NG-Please Check Chip Size ")</f>
        <v>OK</v>
      </c>
      <c r="AL1" s="298"/>
      <c r="AM1" s="298"/>
      <c r="AN1" s="298" t="str">
        <f>IF(AO3=AO5,"OK","Size-X: NG-Please Check Chip Size ")</f>
        <v>OK</v>
      </c>
      <c r="AO1" s="298"/>
      <c r="AP1" s="298"/>
      <c r="AQ1" s="298" t="str">
        <f>IF(AR3=AR5,"OK","Size-X: NG-Please Check Chip Size ")</f>
        <v>OK</v>
      </c>
      <c r="AR1" s="298"/>
      <c r="AS1" s="298"/>
      <c r="AT1" s="298" t="str">
        <f>IF(AU3=AU5,"OK","Size-X: NG-Please Check Chip Size ")</f>
        <v>OK</v>
      </c>
      <c r="AU1" s="298"/>
      <c r="AV1" s="298"/>
      <c r="AW1" s="298" t="str">
        <f>IF(AX3=AX5,"OK","Size-X: NG-Please Check Chip Size ")</f>
        <v>OK</v>
      </c>
      <c r="AX1" s="298"/>
      <c r="AY1" s="298"/>
      <c r="AZ1" s="298" t="str">
        <f>IF(BA3=BA5,"OK","Size-X: NG-Please Check Chip Size ")</f>
        <v>OK</v>
      </c>
      <c r="BA1" s="298"/>
      <c r="BB1" s="298"/>
      <c r="BC1" s="298" t="str">
        <f>IF(BD3=BD5,"OK","Size-X: NG-Please Check Chip Size ")</f>
        <v>OK</v>
      </c>
      <c r="BD1" s="298"/>
      <c r="BE1" s="298"/>
      <c r="BF1" s="298" t="str">
        <f>IF(BG3=BG5,"OK","Size-X: NG-Please Check Chip Size ")</f>
        <v>OK</v>
      </c>
      <c r="BG1" s="298"/>
      <c r="BH1" s="298"/>
      <c r="BI1" s="298" t="str">
        <f>IF(BJ3=BJ5,"OK","Size-X: NG-Please Check Chip Size ")</f>
        <v>OK</v>
      </c>
      <c r="BJ1" s="298"/>
      <c r="BK1" s="298"/>
      <c r="BL1" s="298" t="str">
        <f>IF(BM3=BM5,"OK","Size-X: NG-Please Check Chip Size ")</f>
        <v>OK</v>
      </c>
      <c r="BM1" s="298"/>
      <c r="BN1" s="298"/>
      <c r="BO1" s="298" t="str">
        <f>IF(BP3=BP5,"OK","Size-X: NG-Please Check Chip Size ")</f>
        <v>OK</v>
      </c>
      <c r="BP1" s="298"/>
      <c r="BQ1" s="298"/>
      <c r="BR1" s="298" t="str">
        <f>IF(BS3=BS5,"OK","Size-X: NG-Please Check Chip Size ")</f>
        <v>OK</v>
      </c>
      <c r="BS1" s="298"/>
      <c r="BT1" s="298"/>
      <c r="BU1" s="298" t="str">
        <f>IF(BV3=BV5,"OK","Size-X: NG-Please Check Chip Size ")</f>
        <v>OK</v>
      </c>
      <c r="BV1" s="298"/>
      <c r="BW1" s="298"/>
      <c r="BX1" s="298" t="str">
        <f>IF(BY3=BY5,"OK","Size-X: NG-Please Check Chip Size ")</f>
        <v>OK</v>
      </c>
      <c r="BY1" s="298"/>
      <c r="BZ1" s="298"/>
      <c r="CA1" s="298" t="str">
        <f>IF(CB3=CB5,"OK","Size-X: NG-Please Check Chip Size ")</f>
        <v>OK</v>
      </c>
      <c r="CB1" s="298"/>
      <c r="CC1" s="298"/>
      <c r="CD1" s="298" t="str">
        <f>IF(CE3=CE5,"OK","Size-X: NG-Please Check Chip Size ")</f>
        <v>OK</v>
      </c>
      <c r="CE1" s="298"/>
      <c r="CF1" s="298"/>
      <c r="CG1" s="298" t="str">
        <f>IF(CH3=CH5,"OK","Size-X: NG-Please Check Chip Size ")</f>
        <v>OK</v>
      </c>
      <c r="CH1" s="298"/>
      <c r="CI1" s="298"/>
      <c r="CJ1" s="298" t="str">
        <f>IF(CK3=CK5,"OK","Size-X: NG-Please Check Chip Size ")</f>
        <v>OK</v>
      </c>
      <c r="CK1" s="298"/>
      <c r="CL1" s="298"/>
      <c r="CM1" s="298" t="str">
        <f>IF(CN3=CN5,"OK","Size-X: NG-Please Check Chip Size ")</f>
        <v>OK</v>
      </c>
      <c r="CN1" s="298"/>
      <c r="CO1" s="298"/>
      <c r="CP1" s="298" t="str">
        <f>IF(CQ3=CQ5,"OK","Size-X: NG-Please Check Chip Size ")</f>
        <v>OK</v>
      </c>
      <c r="CQ1" s="298"/>
      <c r="CR1" s="298"/>
      <c r="CS1" s="298" t="str">
        <f>IF(CT3=CT5,"OK","Size-X: NG-Please Check Chip Size ")</f>
        <v>OK</v>
      </c>
      <c r="CT1" s="298"/>
      <c r="CU1" s="298"/>
      <c r="CV1" s="298" t="str">
        <f>IF(CW3=CW5,"OK","Size-X: NG-Please Check Chip Size ")</f>
        <v>OK</v>
      </c>
      <c r="CW1" s="298"/>
      <c r="CX1" s="298"/>
      <c r="CY1" s="298" t="str">
        <f>IF(CZ3=CZ5,"OK","Size-X: NG-Please Check Chip Size ")</f>
        <v>OK</v>
      </c>
      <c r="CZ1" s="298"/>
      <c r="DA1" s="298"/>
      <c r="DB1" s="298" t="str">
        <f>IF(DC3=DC5,"OK","Size-X: NG-Please Check Chip Size ")</f>
        <v>OK</v>
      </c>
      <c r="DC1" s="298"/>
      <c r="DD1" s="298"/>
      <c r="DE1" s="298" t="str">
        <f>IF(DF3=DF5,"OK","Size-X: NG-Please Check Chip Size ")</f>
        <v>OK</v>
      </c>
      <c r="DF1" s="298"/>
      <c r="DG1" s="298"/>
      <c r="DH1" s="298" t="str">
        <f>IF(DI3=DI5,"OK","Size-X: NG-Please Check Chip Size ")</f>
        <v>OK</v>
      </c>
      <c r="DI1" s="298"/>
      <c r="DJ1" s="298"/>
      <c r="DK1" s="298" t="str">
        <f>IF(DL3=DL5,"OK","Size-X: NG-Please Check Chip Size ")</f>
        <v>OK</v>
      </c>
      <c r="DL1" s="298"/>
      <c r="DM1" s="298"/>
      <c r="DN1" s="298" t="str">
        <f>IF(DO3=DO5,"OK","Size-X: NG-Please Check Chip Size ")</f>
        <v>OK</v>
      </c>
      <c r="DO1" s="298"/>
      <c r="DP1" s="298"/>
      <c r="DQ1" s="298" t="str">
        <f>IF(DR3=DR5,"OK","Size-X: NG-Please Check Chip Size ")</f>
        <v>OK</v>
      </c>
      <c r="DR1" s="298"/>
      <c r="DS1" s="298"/>
      <c r="DT1" s="298" t="str">
        <f>IF(DU3=DU5,"OK","Size-X: NG-Please Check Chip Size ")</f>
        <v>OK</v>
      </c>
      <c r="DU1" s="298"/>
      <c r="DV1" s="298"/>
      <c r="DW1" s="298" t="str">
        <f>IF(DX3=DX5,"OK","Size-X: NG-Please Check Chip Size ")</f>
        <v>OK</v>
      </c>
      <c r="DX1" s="298"/>
      <c r="DY1" s="298"/>
      <c r="DZ1" s="298" t="str">
        <f>IF(EA3=EA5,"OK","Size-X: NG-Please Check Chip Size ")</f>
        <v>OK</v>
      </c>
      <c r="EA1" s="298"/>
      <c r="EB1" s="298"/>
      <c r="EC1" s="298" t="str">
        <f>IF(ED3=ED5,"OK","Size-X: NG-Please Check Chip Size ")</f>
        <v>OK</v>
      </c>
      <c r="ED1" s="298"/>
      <c r="EE1" s="298"/>
      <c r="EF1" s="298" t="str">
        <f>IF(EG3=EG5,"OK","Size-X: NG-Please Check Chip Size ")</f>
        <v>OK</v>
      </c>
      <c r="EG1" s="298"/>
      <c r="EH1" s="298"/>
      <c r="EI1" s="298" t="str">
        <f>IF(EJ3=EJ5,"OK","Size-X: NG-Please Check Chip Size ")</f>
        <v>OK</v>
      </c>
      <c r="EJ1" s="298"/>
      <c r="EK1" s="298"/>
      <c r="EL1" s="298" t="str">
        <f>IF(EM3=EM5,"OK","Size-X: NG-Please Check Chip Size ")</f>
        <v>OK</v>
      </c>
      <c r="EM1" s="298"/>
      <c r="EN1" s="298"/>
      <c r="EO1" s="298" t="str">
        <f>IF(EP3=EP5,"OK","Size-X: NG-Please Check Chip Size ")</f>
        <v>OK</v>
      </c>
      <c r="EP1" s="298"/>
      <c r="EQ1" s="298"/>
      <c r="ER1" s="298" t="str">
        <f>IF(ES3=ES5,"OK","Size-X: NG-Please Check Chip Size ")</f>
        <v>OK</v>
      </c>
      <c r="ES1" s="298"/>
      <c r="ET1" s="298"/>
      <c r="EU1" s="298" t="str">
        <f>IF(EV3=EV5,"OK","Size-X: NG-Please Check Chip Size ")</f>
        <v>OK</v>
      </c>
      <c r="EV1" s="298"/>
      <c r="EW1" s="298"/>
    </row>
    <row r="2" spans="10:153" s="154" customFormat="1" ht="30" customHeight="1">
      <c r="J2" s="153"/>
      <c r="AC2" s="297"/>
      <c r="AD2" s="297"/>
      <c r="AE2" s="297" t="s">
        <v>147</v>
      </c>
      <c r="AF2" s="297"/>
      <c r="AG2" s="297"/>
      <c r="AH2" s="298" t="str">
        <f>IF(AI4=AI6,"OK","Size-Y: NG-Please Check Chip Size ")</f>
        <v>OK</v>
      </c>
      <c r="AI2" s="298"/>
      <c r="AJ2" s="298"/>
      <c r="AK2" s="298" t="str">
        <f>IF(AL4=AL6,"OK","Size-Y: NG-Please Check Chip Size ")</f>
        <v>OK</v>
      </c>
      <c r="AL2" s="298"/>
      <c r="AM2" s="298"/>
      <c r="AN2" s="298" t="str">
        <f>IF(AO4=AO6,"OK","Size-Y: NG-Please Check Chip Size ")</f>
        <v>OK</v>
      </c>
      <c r="AO2" s="298"/>
      <c r="AP2" s="298"/>
      <c r="AQ2" s="298" t="str">
        <f>IF(AR4=AR6,"OK","Size-Y: NG-Please Check Chip Size ")</f>
        <v>OK</v>
      </c>
      <c r="AR2" s="298"/>
      <c r="AS2" s="298"/>
      <c r="AT2" s="298" t="str">
        <f>IF(AU4=AU6,"OK","Size-Y: NG-Please Check Chip Size ")</f>
        <v>OK</v>
      </c>
      <c r="AU2" s="298"/>
      <c r="AV2" s="298"/>
      <c r="AW2" s="298" t="str">
        <f>IF(AX4=AX6,"OK","Size-Y: NG-Please Check Chip Size ")</f>
        <v>OK</v>
      </c>
      <c r="AX2" s="298"/>
      <c r="AY2" s="298"/>
      <c r="AZ2" s="298" t="str">
        <f>IF(BA4=BA6,"OK","Size-Y: NG-Please Check Chip Size ")</f>
        <v>OK</v>
      </c>
      <c r="BA2" s="298"/>
      <c r="BB2" s="298"/>
      <c r="BC2" s="298" t="str">
        <f>IF(BD4=BD6,"OK","Size-Y: NG-Please Check Chip Size ")</f>
        <v>OK</v>
      </c>
      <c r="BD2" s="298"/>
      <c r="BE2" s="298"/>
      <c r="BF2" s="298" t="str">
        <f>IF(BG4=BG6,"OK","Size-Y: NG-Please Check Chip Size ")</f>
        <v>OK</v>
      </c>
      <c r="BG2" s="298"/>
      <c r="BH2" s="298"/>
      <c r="BI2" s="298" t="str">
        <f>IF(BJ4=BJ6,"OK","Size-Y: NG-Please Check Chip Size ")</f>
        <v>OK</v>
      </c>
      <c r="BJ2" s="298"/>
      <c r="BK2" s="298"/>
      <c r="BL2" s="298" t="str">
        <f>IF(BM4=BM6,"OK","Size-Y: NG-Please Check Chip Size ")</f>
        <v>OK</v>
      </c>
      <c r="BM2" s="298"/>
      <c r="BN2" s="298"/>
      <c r="BO2" s="298" t="str">
        <f>IF(BP4=BP6,"OK","Size-Y: NG-Please Check Chip Size ")</f>
        <v>OK</v>
      </c>
      <c r="BP2" s="298"/>
      <c r="BQ2" s="298"/>
      <c r="BR2" s="298" t="str">
        <f>IF(BS4=BS6,"OK","Size-Y: NG-Please Check Chip Size ")</f>
        <v>OK</v>
      </c>
      <c r="BS2" s="298"/>
      <c r="BT2" s="298"/>
      <c r="BU2" s="298" t="str">
        <f>IF(BV4=BV6,"OK","Size-Y: NG-Please Check Chip Size ")</f>
        <v>OK</v>
      </c>
      <c r="BV2" s="298"/>
      <c r="BW2" s="298"/>
      <c r="BX2" s="298" t="str">
        <f>IF(BY4=BY6,"OK","Size-Y: NG-Please Check Chip Size ")</f>
        <v>OK</v>
      </c>
      <c r="BY2" s="298"/>
      <c r="BZ2" s="298"/>
      <c r="CA2" s="298" t="str">
        <f>IF(CB4=CB6,"OK","Size-Y: NG-Please Check Chip Size ")</f>
        <v>OK</v>
      </c>
      <c r="CB2" s="298"/>
      <c r="CC2" s="298"/>
      <c r="CD2" s="298" t="str">
        <f>IF(CE4=CE6,"OK","Size-Y: NG-Please Check Chip Size ")</f>
        <v>OK</v>
      </c>
      <c r="CE2" s="298"/>
      <c r="CF2" s="298"/>
      <c r="CG2" s="298" t="str">
        <f>IF(CH4=CH6,"OK","Size-Y: NG-Please Check Chip Size ")</f>
        <v>OK</v>
      </c>
      <c r="CH2" s="298"/>
      <c r="CI2" s="298"/>
      <c r="CJ2" s="298" t="str">
        <f>IF(CK4=CK6,"OK","Size-Y: NG-Please Check Chip Size ")</f>
        <v>OK</v>
      </c>
      <c r="CK2" s="298"/>
      <c r="CL2" s="298"/>
      <c r="CM2" s="298" t="str">
        <f>IF(CN4=CN6,"OK","Size-Y: NG-Please Check Chip Size ")</f>
        <v>OK</v>
      </c>
      <c r="CN2" s="298"/>
      <c r="CO2" s="298"/>
      <c r="CP2" s="298" t="str">
        <f>IF(CQ4=CQ6,"OK","Size-Y: NG-Please Check Chip Size ")</f>
        <v>OK</v>
      </c>
      <c r="CQ2" s="298"/>
      <c r="CR2" s="298"/>
      <c r="CS2" s="298" t="str">
        <f>IF(CT4=CT6,"OK","Size-Y: NG-Please Check Chip Size ")</f>
        <v>OK</v>
      </c>
      <c r="CT2" s="298"/>
      <c r="CU2" s="298"/>
      <c r="CV2" s="298" t="str">
        <f>IF(CW4=CW6,"OK","Size-Y: NG-Please Check Chip Size ")</f>
        <v>OK</v>
      </c>
      <c r="CW2" s="298"/>
      <c r="CX2" s="298"/>
      <c r="CY2" s="298" t="str">
        <f>IF(CZ4=CZ6,"OK","Size-Y: NG-Please Check Chip Size ")</f>
        <v>OK</v>
      </c>
      <c r="CZ2" s="298"/>
      <c r="DA2" s="298"/>
      <c r="DB2" s="298" t="str">
        <f>IF(DC4=DC6,"OK","Size-Y: NG-Please Check Chip Size ")</f>
        <v>OK</v>
      </c>
      <c r="DC2" s="298"/>
      <c r="DD2" s="298"/>
      <c r="DE2" s="298" t="str">
        <f>IF(DF4=DF6,"OK","Size-Y: NG-Please Check Chip Size ")</f>
        <v>OK</v>
      </c>
      <c r="DF2" s="298"/>
      <c r="DG2" s="298"/>
      <c r="DH2" s="298" t="str">
        <f>IF(DI4=DI6,"OK","Size-Y: NG-Please Check Chip Size ")</f>
        <v>OK</v>
      </c>
      <c r="DI2" s="298"/>
      <c r="DJ2" s="298"/>
      <c r="DK2" s="298" t="str">
        <f>IF(DL4=DL6,"OK","Size-Y: NG-Please Check Chip Size ")</f>
        <v>OK</v>
      </c>
      <c r="DL2" s="298"/>
      <c r="DM2" s="298"/>
      <c r="DN2" s="298" t="str">
        <f>IF(DO4=DO6,"OK","Size-Y: NG-Please Check Chip Size ")</f>
        <v>OK</v>
      </c>
      <c r="DO2" s="298"/>
      <c r="DP2" s="298"/>
      <c r="DQ2" s="298" t="str">
        <f>IF(DR4=DR6,"OK","Size-Y: NG-Please Check Chip Size ")</f>
        <v>OK</v>
      </c>
      <c r="DR2" s="298"/>
      <c r="DS2" s="298"/>
      <c r="DT2" s="298" t="str">
        <f>IF(DU4=DU6,"OK","Size-Y: NG-Please Check Chip Size ")</f>
        <v>OK</v>
      </c>
      <c r="DU2" s="298"/>
      <c r="DV2" s="298"/>
      <c r="DW2" s="298" t="str">
        <f>IF(DX4=DX6,"OK","Size-Y: NG-Please Check Chip Size ")</f>
        <v>OK</v>
      </c>
      <c r="DX2" s="298"/>
      <c r="DY2" s="298"/>
      <c r="DZ2" s="298" t="str">
        <f>IF(EA4=EA6,"OK","Size-Y: NG-Please Check Chip Size ")</f>
        <v>OK</v>
      </c>
      <c r="EA2" s="298"/>
      <c r="EB2" s="298"/>
      <c r="EC2" s="298" t="str">
        <f>IF(ED4=ED6,"OK","Size-Y: NG-Please Check Chip Size ")</f>
        <v>OK</v>
      </c>
      <c r="ED2" s="298"/>
      <c r="EE2" s="298"/>
      <c r="EF2" s="298" t="str">
        <f>IF(EG4=EG6,"OK","Size-Y: NG-Please Check Chip Size ")</f>
        <v>OK</v>
      </c>
      <c r="EG2" s="298"/>
      <c r="EH2" s="298"/>
      <c r="EI2" s="298" t="str">
        <f>IF(EJ4=EJ6,"OK","Size-Y: NG-Please Check Chip Size ")</f>
        <v>OK</v>
      </c>
      <c r="EJ2" s="298"/>
      <c r="EK2" s="298"/>
      <c r="EL2" s="298" t="str">
        <f>IF(EM4=EM6,"OK","Size-Y: NG-Please Check Chip Size ")</f>
        <v>OK</v>
      </c>
      <c r="EM2" s="298"/>
      <c r="EN2" s="298"/>
      <c r="EO2" s="298" t="str">
        <f>IF(EP4=EP6,"OK","Size-Y: NG-Please Check Chip Size ")</f>
        <v>OK</v>
      </c>
      <c r="EP2" s="298"/>
      <c r="EQ2" s="298"/>
      <c r="ER2" s="298" t="str">
        <f>IF(ES4=ES6,"OK","Size-Y: NG-Please Check Chip Size ")</f>
        <v>OK</v>
      </c>
      <c r="ES2" s="298"/>
      <c r="ET2" s="298"/>
      <c r="EU2" s="298" t="str">
        <f>IF(EV4=EV6,"OK","Size-Y: NG-Please Check Chip Size ")</f>
        <v>OK</v>
      </c>
      <c r="EV2" s="298"/>
      <c r="EW2" s="298"/>
    </row>
    <row r="3" spans="10:153" s="150" customFormat="1" ht="18" customHeight="1">
      <c r="J3" s="148"/>
      <c r="AC3" s="297" t="s">
        <v>145</v>
      </c>
      <c r="AD3" s="297"/>
      <c r="AE3" s="185" t="s">
        <v>1</v>
      </c>
      <c r="AF3" s="155">
        <f>(AE17-AE15)*AE19</f>
        <v>21900</v>
      </c>
      <c r="AG3" s="185"/>
      <c r="AH3" s="192" t="s">
        <v>1</v>
      </c>
      <c r="AI3" s="155">
        <f>(AH17-AH15)*AH19</f>
        <v>850</v>
      </c>
      <c r="AJ3" s="192"/>
      <c r="AK3" s="192" t="s">
        <v>1</v>
      </c>
      <c r="AL3" s="155">
        <f>(AK17-AK15)*AK19</f>
        <v>850</v>
      </c>
      <c r="AM3" s="192"/>
      <c r="AN3" s="192" t="s">
        <v>1</v>
      </c>
      <c r="AO3" s="155">
        <f>(AN17-AN15)*AN19</f>
        <v>850</v>
      </c>
      <c r="AP3" s="192"/>
      <c r="AQ3" s="192" t="s">
        <v>1</v>
      </c>
      <c r="AR3" s="155">
        <f>(AQ17-AQ15)*AQ19</f>
        <v>850</v>
      </c>
      <c r="AS3" s="192"/>
      <c r="AT3" s="192" t="s">
        <v>1</v>
      </c>
      <c r="AU3" s="155">
        <f>(AT17-AT15)*AT19</f>
        <v>850</v>
      </c>
      <c r="AV3" s="192"/>
      <c r="AW3" s="192" t="s">
        <v>1</v>
      </c>
      <c r="AX3" s="155">
        <f>(AW17-AW15)*AW19</f>
        <v>850</v>
      </c>
      <c r="AY3" s="192"/>
      <c r="AZ3" s="192" t="s">
        <v>1</v>
      </c>
      <c r="BA3" s="155">
        <f>(AZ17-AZ15)*AZ19</f>
        <v>850</v>
      </c>
      <c r="BB3" s="192"/>
      <c r="BC3" s="192" t="s">
        <v>1</v>
      </c>
      <c r="BD3" s="155">
        <f>(BC17-BC15)*BC19</f>
        <v>1050</v>
      </c>
      <c r="BE3" s="192"/>
      <c r="BF3" s="192" t="s">
        <v>1</v>
      </c>
      <c r="BG3" s="155">
        <f>(BF17-BF15)*BF19</f>
        <v>1050</v>
      </c>
      <c r="BH3" s="192"/>
      <c r="BI3" s="192" t="s">
        <v>1</v>
      </c>
      <c r="BJ3" s="155">
        <f>(BI17-BI15)*BI19</f>
        <v>1050</v>
      </c>
      <c r="BK3" s="192"/>
      <c r="BL3" s="192" t="s">
        <v>1</v>
      </c>
      <c r="BM3" s="155">
        <f>(BL17-BL15)*BL19</f>
        <v>1050</v>
      </c>
      <c r="BN3" s="192"/>
      <c r="BO3" s="192" t="s">
        <v>1</v>
      </c>
      <c r="BP3" s="155">
        <f>(BO17-BO15)*BO19</f>
        <v>1050</v>
      </c>
      <c r="BQ3" s="192"/>
      <c r="BR3" s="192" t="s">
        <v>1</v>
      </c>
      <c r="BS3" s="155">
        <f>(BR17-BR15)*BR19</f>
        <v>1050</v>
      </c>
      <c r="BT3" s="192"/>
      <c r="BU3" s="192" t="s">
        <v>1</v>
      </c>
      <c r="BV3" s="155">
        <f>(BU17-BU15)*BU19</f>
        <v>1050</v>
      </c>
      <c r="BW3" s="192"/>
      <c r="BX3" s="192" t="s">
        <v>1</v>
      </c>
      <c r="BY3" s="155">
        <f>(BX17-BX15)*BX19</f>
        <v>1050</v>
      </c>
      <c r="BZ3" s="192"/>
      <c r="CA3" s="192" t="s">
        <v>1</v>
      </c>
      <c r="CB3" s="155">
        <f>(CA17-CA15)*CA19</f>
        <v>1050</v>
      </c>
      <c r="CC3" s="192"/>
      <c r="CD3" s="192" t="s">
        <v>1</v>
      </c>
      <c r="CE3" s="155">
        <f>(CD17-CD15)*CD19</f>
        <v>1050</v>
      </c>
      <c r="CF3" s="192"/>
      <c r="CG3" s="192" t="s">
        <v>1</v>
      </c>
      <c r="CH3" s="155">
        <f>(CG17-CG15)*CG19</f>
        <v>1050</v>
      </c>
      <c r="CI3" s="192"/>
      <c r="CJ3" s="192" t="s">
        <v>1</v>
      </c>
      <c r="CK3" s="155">
        <f>(CJ17-CJ15)*CJ19</f>
        <v>1050</v>
      </c>
      <c r="CL3" s="192"/>
      <c r="CM3" s="192" t="s">
        <v>1</v>
      </c>
      <c r="CN3" s="155">
        <f>(CM17-CM15)*CM19</f>
        <v>1050</v>
      </c>
      <c r="CO3" s="192"/>
      <c r="CP3" s="192" t="s">
        <v>1</v>
      </c>
      <c r="CQ3" s="155">
        <f>(CP17-CP15)*CP19</f>
        <v>1050</v>
      </c>
      <c r="CR3" s="192"/>
      <c r="CS3" s="192" t="s">
        <v>1</v>
      </c>
      <c r="CT3" s="155">
        <f>(CS17-CS15)*CS19</f>
        <v>450</v>
      </c>
      <c r="CU3" s="192"/>
      <c r="CV3" s="192" t="s">
        <v>1</v>
      </c>
      <c r="CW3" s="155">
        <f>(CV17-CV15)*CV19</f>
        <v>450</v>
      </c>
      <c r="CX3" s="192"/>
      <c r="CY3" s="192" t="s">
        <v>1</v>
      </c>
      <c r="CZ3" s="155">
        <f>(CY17-CY15)*CY19</f>
        <v>450</v>
      </c>
      <c r="DA3" s="192"/>
      <c r="DB3" s="192" t="s">
        <v>1</v>
      </c>
      <c r="DC3" s="155">
        <f>(DB17-DB15)*DB19</f>
        <v>450</v>
      </c>
      <c r="DD3" s="192"/>
      <c r="DE3" s="192" t="s">
        <v>1</v>
      </c>
      <c r="DF3" s="155">
        <f>(DE17-DE15)*DE19</f>
        <v>980</v>
      </c>
      <c r="DG3" s="192"/>
      <c r="DH3" s="192" t="s">
        <v>1</v>
      </c>
      <c r="DI3" s="155">
        <f>(DH17-DH15)*DH19</f>
        <v>980</v>
      </c>
      <c r="DJ3" s="192"/>
      <c r="DK3" s="192" t="s">
        <v>1</v>
      </c>
      <c r="DL3" s="155">
        <f>(DK17-DK15)*DK19</f>
        <v>12960</v>
      </c>
      <c r="DM3" s="192"/>
      <c r="DN3" s="192" t="s">
        <v>1</v>
      </c>
      <c r="DO3" s="155">
        <f>(DN17-DN15)*DN19</f>
        <v>7900</v>
      </c>
      <c r="DP3" s="192"/>
      <c r="DQ3" s="192" t="s">
        <v>1</v>
      </c>
      <c r="DR3" s="155">
        <f>(DQ17-DQ15)*DQ19</f>
        <v>3100</v>
      </c>
      <c r="DS3" s="192"/>
      <c r="DT3" s="192" t="s">
        <v>1</v>
      </c>
      <c r="DU3" s="155">
        <f>(DT17-DT15)*DT19</f>
        <v>2400</v>
      </c>
      <c r="DV3" s="192"/>
      <c r="DW3" s="192" t="s">
        <v>1</v>
      </c>
      <c r="DX3" s="155">
        <f>(DW17-DW15)*DW19</f>
        <v>3100</v>
      </c>
      <c r="DY3" s="192"/>
      <c r="DZ3" s="192" t="s">
        <v>1</v>
      </c>
      <c r="EA3" s="155">
        <f>(DZ17-DZ15)*DZ19</f>
        <v>1600</v>
      </c>
      <c r="EB3" s="192"/>
      <c r="EC3" s="192" t="s">
        <v>1</v>
      </c>
      <c r="ED3" s="155">
        <f>(EC17-EC15)*EC19</f>
        <v>3100</v>
      </c>
      <c r="EE3" s="192"/>
      <c r="EF3" s="192" t="s">
        <v>1</v>
      </c>
      <c r="EG3" s="155">
        <f>(EF17-EF15)*EF19</f>
        <v>3100</v>
      </c>
      <c r="EH3" s="192"/>
      <c r="EI3" s="192" t="s">
        <v>1</v>
      </c>
      <c r="EJ3" s="155">
        <f>(EI17-EI15)*EI19</f>
        <v>3100</v>
      </c>
      <c r="EK3" s="192"/>
      <c r="EL3" s="192" t="s">
        <v>1</v>
      </c>
      <c r="EM3" s="155">
        <f>(EL17-EL15)*EL19</f>
        <v>3100</v>
      </c>
      <c r="EN3" s="192"/>
      <c r="EO3" s="192" t="s">
        <v>1</v>
      </c>
      <c r="EP3" s="155">
        <f>(EO17-EO15)*EO19</f>
        <v>3100</v>
      </c>
      <c r="EQ3" s="192"/>
      <c r="ER3" s="192" t="s">
        <v>1</v>
      </c>
      <c r="ES3" s="155">
        <f>(ER17-ER15)*ER19</f>
        <v>3100</v>
      </c>
      <c r="ET3" s="192"/>
      <c r="EU3" s="192" t="s">
        <v>1</v>
      </c>
      <c r="EV3" s="155">
        <f>(EU17-EU15)*EU19</f>
        <v>3100</v>
      </c>
      <c r="EW3" s="192"/>
    </row>
    <row r="4" spans="10:153" s="150" customFormat="1" ht="18" customHeight="1">
      <c r="J4" s="148"/>
      <c r="AC4" s="297" t="s">
        <v>145</v>
      </c>
      <c r="AD4" s="297"/>
      <c r="AE4" s="185" t="s">
        <v>4</v>
      </c>
      <c r="AF4" s="185">
        <f>(AE18-AE16)*AE19</f>
        <v>20840</v>
      </c>
      <c r="AG4" s="185"/>
      <c r="AH4" s="192" t="s">
        <v>4</v>
      </c>
      <c r="AI4" s="192">
        <f>(AH18-AH16)*AH19</f>
        <v>1400</v>
      </c>
      <c r="AJ4" s="192"/>
      <c r="AK4" s="192" t="s">
        <v>4</v>
      </c>
      <c r="AL4" s="192">
        <f>(AK18-AK16)*AK19</f>
        <v>1400</v>
      </c>
      <c r="AM4" s="192"/>
      <c r="AN4" s="192" t="s">
        <v>4</v>
      </c>
      <c r="AO4" s="192">
        <f>(AN18-AN16)*AN19</f>
        <v>1400</v>
      </c>
      <c r="AP4" s="192"/>
      <c r="AQ4" s="192" t="s">
        <v>4</v>
      </c>
      <c r="AR4" s="192">
        <f>(AQ18-AQ16)*AQ19</f>
        <v>1400</v>
      </c>
      <c r="AS4" s="192"/>
      <c r="AT4" s="192" t="s">
        <v>4</v>
      </c>
      <c r="AU4" s="192">
        <f>(AT18-AT16)*AT19</f>
        <v>1400</v>
      </c>
      <c r="AV4" s="192"/>
      <c r="AW4" s="192" t="s">
        <v>4</v>
      </c>
      <c r="AX4" s="192">
        <f>(AW18-AW16)*AW19</f>
        <v>1400</v>
      </c>
      <c r="AY4" s="192"/>
      <c r="AZ4" s="192" t="s">
        <v>4</v>
      </c>
      <c r="BA4" s="192">
        <f>(AZ18-AZ16)*AZ19</f>
        <v>1400</v>
      </c>
      <c r="BB4" s="192"/>
      <c r="BC4" s="192" t="s">
        <v>4</v>
      </c>
      <c r="BD4" s="192">
        <f>(BC18-BC16)*BC19</f>
        <v>1600</v>
      </c>
      <c r="BE4" s="192"/>
      <c r="BF4" s="192" t="s">
        <v>4</v>
      </c>
      <c r="BG4" s="192">
        <f>(BF18-BF16)*BF19</f>
        <v>1600</v>
      </c>
      <c r="BH4" s="192"/>
      <c r="BI4" s="192" t="s">
        <v>4</v>
      </c>
      <c r="BJ4" s="192">
        <f>(BI18-BI16)*BI19</f>
        <v>1600</v>
      </c>
      <c r="BK4" s="192"/>
      <c r="BL4" s="192" t="s">
        <v>4</v>
      </c>
      <c r="BM4" s="192">
        <f>(BL18-BL16)*BL19</f>
        <v>1600</v>
      </c>
      <c r="BN4" s="192"/>
      <c r="BO4" s="192" t="s">
        <v>4</v>
      </c>
      <c r="BP4" s="192">
        <f>(BO18-BO16)*BO19</f>
        <v>1600</v>
      </c>
      <c r="BQ4" s="192"/>
      <c r="BR4" s="192" t="s">
        <v>4</v>
      </c>
      <c r="BS4" s="192">
        <f>(BR18-BR16)*BR19</f>
        <v>1600</v>
      </c>
      <c r="BT4" s="192"/>
      <c r="BU4" s="192" t="s">
        <v>4</v>
      </c>
      <c r="BV4" s="192">
        <f>(BU18-BU16)*BU19</f>
        <v>1600</v>
      </c>
      <c r="BW4" s="192"/>
      <c r="BX4" s="192" t="s">
        <v>4</v>
      </c>
      <c r="BY4" s="192">
        <f>(BX18-BX16)*BX19</f>
        <v>1600</v>
      </c>
      <c r="BZ4" s="192"/>
      <c r="CA4" s="192" t="s">
        <v>4</v>
      </c>
      <c r="CB4" s="192">
        <f>(CA18-CA16)*CA19</f>
        <v>1600</v>
      </c>
      <c r="CC4" s="192"/>
      <c r="CD4" s="192" t="s">
        <v>4</v>
      </c>
      <c r="CE4" s="192">
        <f>(CD18-CD16)*CD19</f>
        <v>1600</v>
      </c>
      <c r="CF4" s="192"/>
      <c r="CG4" s="192" t="s">
        <v>4</v>
      </c>
      <c r="CH4" s="192">
        <f>(CG18-CG16)*CG19</f>
        <v>1600</v>
      </c>
      <c r="CI4" s="192"/>
      <c r="CJ4" s="192" t="s">
        <v>4</v>
      </c>
      <c r="CK4" s="192">
        <f>(CJ18-CJ16)*CJ19</f>
        <v>1600</v>
      </c>
      <c r="CL4" s="192"/>
      <c r="CM4" s="192" t="s">
        <v>4</v>
      </c>
      <c r="CN4" s="192">
        <f>(CM18-CM16)*CM19</f>
        <v>1600</v>
      </c>
      <c r="CO4" s="192"/>
      <c r="CP4" s="192" t="s">
        <v>4</v>
      </c>
      <c r="CQ4" s="192">
        <f>(CP18-CP16)*CP19</f>
        <v>1600</v>
      </c>
      <c r="CR4" s="192"/>
      <c r="CS4" s="192" t="s">
        <v>4</v>
      </c>
      <c r="CT4" s="192">
        <f>(CS18-CS16)*CS19</f>
        <v>50</v>
      </c>
      <c r="CU4" s="192"/>
      <c r="CV4" s="192" t="s">
        <v>4</v>
      </c>
      <c r="CW4" s="192">
        <f>(CV18-CV16)*CV19</f>
        <v>50</v>
      </c>
      <c r="CX4" s="192"/>
      <c r="CY4" s="192" t="s">
        <v>4</v>
      </c>
      <c r="CZ4" s="192">
        <f>(CY18-CY16)*CY19</f>
        <v>50</v>
      </c>
      <c r="DA4" s="192"/>
      <c r="DB4" s="192" t="s">
        <v>4</v>
      </c>
      <c r="DC4" s="192">
        <f>(DB18-DB16)*DB19</f>
        <v>50</v>
      </c>
      <c r="DD4" s="192"/>
      <c r="DE4" s="192" t="s">
        <v>4</v>
      </c>
      <c r="DF4" s="192">
        <f>(DE18-DE16)*DE19</f>
        <v>52</v>
      </c>
      <c r="DG4" s="192"/>
      <c r="DH4" s="192" t="s">
        <v>4</v>
      </c>
      <c r="DI4" s="192">
        <f>(DH18-DH16)*DH19</f>
        <v>52</v>
      </c>
      <c r="DJ4" s="192"/>
      <c r="DK4" s="192" t="s">
        <v>4</v>
      </c>
      <c r="DL4" s="192">
        <f>(DK18-DK16)*DK19</f>
        <v>1800</v>
      </c>
      <c r="DM4" s="192"/>
      <c r="DN4" s="192" t="s">
        <v>4</v>
      </c>
      <c r="DO4" s="192">
        <f>(DN18-DN16)*DN19</f>
        <v>1270</v>
      </c>
      <c r="DP4" s="192"/>
      <c r="DQ4" s="192" t="s">
        <v>4</v>
      </c>
      <c r="DR4" s="192">
        <f>(DQ18-DQ16)*DQ19</f>
        <v>577</v>
      </c>
      <c r="DS4" s="192"/>
      <c r="DT4" s="192" t="s">
        <v>4</v>
      </c>
      <c r="DU4" s="192">
        <f>(DT18-DT16)*DT19</f>
        <v>580</v>
      </c>
      <c r="DV4" s="192"/>
      <c r="DW4" s="192" t="s">
        <v>4</v>
      </c>
      <c r="DX4" s="192">
        <f>(DW18-DW16)*DW19</f>
        <v>170</v>
      </c>
      <c r="DY4" s="192"/>
      <c r="DZ4" s="192" t="s">
        <v>4</v>
      </c>
      <c r="EA4" s="192">
        <f>(DZ18-DZ16)*DZ19</f>
        <v>415</v>
      </c>
      <c r="EB4" s="192"/>
      <c r="EC4" s="192" t="s">
        <v>4</v>
      </c>
      <c r="ED4" s="192">
        <f>(EC18-EC16)*EC19</f>
        <v>57</v>
      </c>
      <c r="EE4" s="192"/>
      <c r="EF4" s="192" t="s">
        <v>4</v>
      </c>
      <c r="EG4" s="192">
        <f>(EF18-EF16)*EF19</f>
        <v>61</v>
      </c>
      <c r="EH4" s="192"/>
      <c r="EI4" s="192" t="s">
        <v>4</v>
      </c>
      <c r="EJ4" s="192">
        <f>(EI18-EI16)*EI19</f>
        <v>52</v>
      </c>
      <c r="EK4" s="192"/>
      <c r="EL4" s="192" t="s">
        <v>4</v>
      </c>
      <c r="EM4" s="192">
        <f>(EL18-EL16)*EL19</f>
        <v>52</v>
      </c>
      <c r="EN4" s="192"/>
      <c r="EO4" s="192" t="s">
        <v>4</v>
      </c>
      <c r="EP4" s="192">
        <f>(EO18-EO16)*EO19</f>
        <v>52</v>
      </c>
      <c r="EQ4" s="192"/>
      <c r="ER4" s="192" t="s">
        <v>4</v>
      </c>
      <c r="ES4" s="192">
        <f>(ER18-ER16)*ER19</f>
        <v>52</v>
      </c>
      <c r="ET4" s="192"/>
      <c r="EU4" s="192" t="s">
        <v>4</v>
      </c>
      <c r="EV4" s="192">
        <f>(EU18-EU16)*EU19</f>
        <v>52</v>
      </c>
      <c r="EW4" s="192"/>
    </row>
    <row r="5" spans="10:153" s="151" customFormat="1" ht="18" hidden="1" customHeight="1">
      <c r="J5" s="149"/>
      <c r="AC5" s="297" t="s">
        <v>146</v>
      </c>
      <c r="AD5" s="297"/>
      <c r="AE5" s="185" t="s">
        <v>1</v>
      </c>
      <c r="AF5" s="185"/>
      <c r="AG5" s="185"/>
      <c r="AH5" s="192" t="s">
        <v>1</v>
      </c>
      <c r="AI5" s="192">
        <v>850</v>
      </c>
      <c r="AJ5" s="192"/>
      <c r="AK5" s="192" t="s">
        <v>1</v>
      </c>
      <c r="AL5" s="192">
        <v>850</v>
      </c>
      <c r="AM5" s="192"/>
      <c r="AN5" s="192" t="s">
        <v>1</v>
      </c>
      <c r="AO5" s="192">
        <v>850</v>
      </c>
      <c r="AP5" s="192"/>
      <c r="AQ5" s="192" t="s">
        <v>1</v>
      </c>
      <c r="AR5" s="192">
        <v>850</v>
      </c>
      <c r="AS5" s="192"/>
      <c r="AT5" s="192" t="s">
        <v>1</v>
      </c>
      <c r="AU5" s="192">
        <v>850</v>
      </c>
      <c r="AV5" s="192"/>
      <c r="AW5" s="192" t="s">
        <v>1</v>
      </c>
      <c r="AX5" s="192">
        <v>850</v>
      </c>
      <c r="AY5" s="192"/>
      <c r="AZ5" s="192" t="s">
        <v>1</v>
      </c>
      <c r="BA5" s="192">
        <v>850</v>
      </c>
      <c r="BB5" s="192"/>
      <c r="BC5" s="192" t="s">
        <v>1</v>
      </c>
      <c r="BD5" s="192">
        <v>1050</v>
      </c>
      <c r="BE5" s="192"/>
      <c r="BF5" s="192" t="s">
        <v>1</v>
      </c>
      <c r="BG5" s="192">
        <v>1050</v>
      </c>
      <c r="BH5" s="192"/>
      <c r="BI5" s="192" t="s">
        <v>1</v>
      </c>
      <c r="BJ5" s="192">
        <v>1050</v>
      </c>
      <c r="BK5" s="192"/>
      <c r="BL5" s="192" t="s">
        <v>1</v>
      </c>
      <c r="BM5" s="192">
        <v>1050</v>
      </c>
      <c r="BN5" s="192"/>
      <c r="BO5" s="192" t="s">
        <v>1</v>
      </c>
      <c r="BP5" s="192">
        <v>1050</v>
      </c>
      <c r="BQ5" s="192"/>
      <c r="BR5" s="192" t="s">
        <v>1</v>
      </c>
      <c r="BS5" s="192">
        <v>1050</v>
      </c>
      <c r="BT5" s="192"/>
      <c r="BU5" s="192" t="s">
        <v>1</v>
      </c>
      <c r="BV5" s="192">
        <v>1050</v>
      </c>
      <c r="BW5" s="192"/>
      <c r="BX5" s="192" t="s">
        <v>1</v>
      </c>
      <c r="BY5" s="192">
        <v>1050</v>
      </c>
      <c r="BZ5" s="192"/>
      <c r="CA5" s="192" t="s">
        <v>1</v>
      </c>
      <c r="CB5" s="192">
        <v>1050</v>
      </c>
      <c r="CC5" s="192"/>
      <c r="CD5" s="192" t="s">
        <v>1</v>
      </c>
      <c r="CE5" s="192">
        <v>1050</v>
      </c>
      <c r="CF5" s="192"/>
      <c r="CG5" s="192" t="s">
        <v>1</v>
      </c>
      <c r="CH5" s="192">
        <v>1050</v>
      </c>
      <c r="CI5" s="192"/>
      <c r="CJ5" s="192" t="s">
        <v>1</v>
      </c>
      <c r="CK5" s="192">
        <v>1050</v>
      </c>
      <c r="CL5" s="192"/>
      <c r="CM5" s="192" t="s">
        <v>1</v>
      </c>
      <c r="CN5" s="192">
        <v>1050</v>
      </c>
      <c r="CO5" s="192"/>
      <c r="CP5" s="192" t="s">
        <v>1</v>
      </c>
      <c r="CQ5" s="192">
        <v>1050</v>
      </c>
      <c r="CR5" s="192"/>
      <c r="CS5" s="192" t="s">
        <v>1</v>
      </c>
      <c r="CT5" s="192">
        <v>450</v>
      </c>
      <c r="CU5" s="192"/>
      <c r="CV5" s="192" t="s">
        <v>1</v>
      </c>
      <c r="CW5" s="192">
        <v>450</v>
      </c>
      <c r="CX5" s="192"/>
      <c r="CY5" s="192" t="s">
        <v>1</v>
      </c>
      <c r="CZ5" s="192">
        <v>450</v>
      </c>
      <c r="DA5" s="192"/>
      <c r="DB5" s="192" t="s">
        <v>1</v>
      </c>
      <c r="DC5" s="192">
        <v>450</v>
      </c>
      <c r="DD5" s="192"/>
      <c r="DE5" s="192" t="s">
        <v>1</v>
      </c>
      <c r="DF5" s="192">
        <v>980</v>
      </c>
      <c r="DG5" s="192"/>
      <c r="DH5" s="192" t="s">
        <v>1</v>
      </c>
      <c r="DI5" s="192">
        <v>980</v>
      </c>
      <c r="DJ5" s="192"/>
      <c r="DK5" s="192" t="s">
        <v>1</v>
      </c>
      <c r="DL5" s="192">
        <v>12960</v>
      </c>
      <c r="DM5" s="192"/>
      <c r="DN5" s="192" t="s">
        <v>1</v>
      </c>
      <c r="DO5" s="192">
        <v>7900</v>
      </c>
      <c r="DP5" s="192"/>
      <c r="DQ5" s="192" t="s">
        <v>1</v>
      </c>
      <c r="DR5" s="192">
        <v>3100</v>
      </c>
      <c r="DS5" s="192"/>
      <c r="DT5" s="192" t="s">
        <v>1</v>
      </c>
      <c r="DU5" s="192">
        <v>2400</v>
      </c>
      <c r="DV5" s="192"/>
      <c r="DW5" s="192" t="s">
        <v>1</v>
      </c>
      <c r="DX5" s="192">
        <v>3100</v>
      </c>
      <c r="DY5" s="192"/>
      <c r="DZ5" s="192" t="s">
        <v>1</v>
      </c>
      <c r="EA5" s="192">
        <v>1600</v>
      </c>
      <c r="EB5" s="192"/>
      <c r="EC5" s="192" t="s">
        <v>1</v>
      </c>
      <c r="ED5" s="192">
        <v>3100</v>
      </c>
      <c r="EE5" s="192"/>
      <c r="EF5" s="192" t="s">
        <v>1</v>
      </c>
      <c r="EG5" s="192">
        <v>3100</v>
      </c>
      <c r="EH5" s="192"/>
      <c r="EI5" s="192" t="s">
        <v>1</v>
      </c>
      <c r="EJ5" s="192">
        <v>3100</v>
      </c>
      <c r="EK5" s="192"/>
      <c r="EL5" s="192" t="s">
        <v>1</v>
      </c>
      <c r="EM5" s="192">
        <v>3100</v>
      </c>
      <c r="EN5" s="192"/>
      <c r="EO5" s="192" t="s">
        <v>1</v>
      </c>
      <c r="EP5" s="192">
        <v>3100</v>
      </c>
      <c r="EQ5" s="192"/>
      <c r="ER5" s="192" t="s">
        <v>1</v>
      </c>
      <c r="ES5" s="192">
        <v>3100</v>
      </c>
      <c r="ET5" s="192"/>
      <c r="EU5" s="192" t="s">
        <v>1</v>
      </c>
      <c r="EV5" s="192">
        <v>3100</v>
      </c>
      <c r="EW5" s="192"/>
    </row>
    <row r="6" spans="10:153" s="151" customFormat="1" ht="18" hidden="1" customHeight="1">
      <c r="J6" s="149"/>
      <c r="AC6" s="297" t="s">
        <v>146</v>
      </c>
      <c r="AD6" s="297"/>
      <c r="AE6" s="185" t="s">
        <v>4</v>
      </c>
      <c r="AF6" s="185"/>
      <c r="AG6" s="185"/>
      <c r="AH6" s="192" t="s">
        <v>4</v>
      </c>
      <c r="AI6" s="192">
        <v>1400</v>
      </c>
      <c r="AJ6" s="192"/>
      <c r="AK6" s="192" t="s">
        <v>4</v>
      </c>
      <c r="AL6" s="192">
        <v>1400</v>
      </c>
      <c r="AM6" s="192"/>
      <c r="AN6" s="192" t="s">
        <v>4</v>
      </c>
      <c r="AO6" s="192">
        <v>1400</v>
      </c>
      <c r="AP6" s="192"/>
      <c r="AQ6" s="192" t="s">
        <v>4</v>
      </c>
      <c r="AR6" s="192">
        <v>1400</v>
      </c>
      <c r="AS6" s="192"/>
      <c r="AT6" s="192" t="s">
        <v>4</v>
      </c>
      <c r="AU6" s="192">
        <v>1400</v>
      </c>
      <c r="AV6" s="192"/>
      <c r="AW6" s="192" t="s">
        <v>4</v>
      </c>
      <c r="AX6" s="192">
        <v>1400</v>
      </c>
      <c r="AY6" s="192"/>
      <c r="AZ6" s="192" t="s">
        <v>4</v>
      </c>
      <c r="BA6" s="192">
        <v>1400</v>
      </c>
      <c r="BB6" s="192"/>
      <c r="BC6" s="192" t="s">
        <v>4</v>
      </c>
      <c r="BD6" s="192">
        <v>1600</v>
      </c>
      <c r="BE6" s="192"/>
      <c r="BF6" s="192" t="s">
        <v>4</v>
      </c>
      <c r="BG6" s="192">
        <v>1600</v>
      </c>
      <c r="BH6" s="192"/>
      <c r="BI6" s="192" t="s">
        <v>4</v>
      </c>
      <c r="BJ6" s="192">
        <v>1600</v>
      </c>
      <c r="BK6" s="192"/>
      <c r="BL6" s="192" t="s">
        <v>4</v>
      </c>
      <c r="BM6" s="192">
        <v>1600</v>
      </c>
      <c r="BN6" s="192"/>
      <c r="BO6" s="192" t="s">
        <v>4</v>
      </c>
      <c r="BP6" s="192">
        <v>1600</v>
      </c>
      <c r="BQ6" s="192"/>
      <c r="BR6" s="192" t="s">
        <v>4</v>
      </c>
      <c r="BS6" s="192">
        <v>1600</v>
      </c>
      <c r="BT6" s="192"/>
      <c r="BU6" s="192" t="s">
        <v>4</v>
      </c>
      <c r="BV6" s="192">
        <v>1600</v>
      </c>
      <c r="BW6" s="192"/>
      <c r="BX6" s="192" t="s">
        <v>4</v>
      </c>
      <c r="BY6" s="192">
        <v>1600</v>
      </c>
      <c r="BZ6" s="192"/>
      <c r="CA6" s="192" t="s">
        <v>4</v>
      </c>
      <c r="CB6" s="192">
        <v>1600</v>
      </c>
      <c r="CC6" s="192"/>
      <c r="CD6" s="192" t="s">
        <v>4</v>
      </c>
      <c r="CE6" s="192">
        <v>1600</v>
      </c>
      <c r="CF6" s="192"/>
      <c r="CG6" s="192" t="s">
        <v>4</v>
      </c>
      <c r="CH6" s="192">
        <v>1600</v>
      </c>
      <c r="CI6" s="192"/>
      <c r="CJ6" s="192" t="s">
        <v>4</v>
      </c>
      <c r="CK6" s="192">
        <v>1600</v>
      </c>
      <c r="CL6" s="192"/>
      <c r="CM6" s="192" t="s">
        <v>4</v>
      </c>
      <c r="CN6" s="192">
        <v>1600</v>
      </c>
      <c r="CO6" s="192"/>
      <c r="CP6" s="192" t="s">
        <v>4</v>
      </c>
      <c r="CQ6" s="192">
        <v>1600</v>
      </c>
      <c r="CR6" s="192"/>
      <c r="CS6" s="192" t="s">
        <v>4</v>
      </c>
      <c r="CT6" s="192">
        <v>50</v>
      </c>
      <c r="CU6" s="192"/>
      <c r="CV6" s="192" t="s">
        <v>4</v>
      </c>
      <c r="CW6" s="192">
        <v>50</v>
      </c>
      <c r="CX6" s="192"/>
      <c r="CY6" s="192" t="s">
        <v>4</v>
      </c>
      <c r="CZ6" s="192">
        <v>50</v>
      </c>
      <c r="DA6" s="192"/>
      <c r="DB6" s="192" t="s">
        <v>4</v>
      </c>
      <c r="DC6" s="192">
        <v>50</v>
      </c>
      <c r="DD6" s="192"/>
      <c r="DE6" s="192" t="s">
        <v>4</v>
      </c>
      <c r="DF6" s="192">
        <v>52</v>
      </c>
      <c r="DG6" s="192"/>
      <c r="DH6" s="192" t="s">
        <v>4</v>
      </c>
      <c r="DI6" s="192">
        <v>52</v>
      </c>
      <c r="DJ6" s="192"/>
      <c r="DK6" s="192" t="s">
        <v>4</v>
      </c>
      <c r="DL6" s="192">
        <v>1800</v>
      </c>
      <c r="DM6" s="192"/>
      <c r="DN6" s="192" t="s">
        <v>4</v>
      </c>
      <c r="DO6" s="192">
        <v>1270</v>
      </c>
      <c r="DP6" s="192"/>
      <c r="DQ6" s="192" t="s">
        <v>4</v>
      </c>
      <c r="DR6" s="192">
        <v>577</v>
      </c>
      <c r="DS6" s="192"/>
      <c r="DT6" s="192" t="s">
        <v>4</v>
      </c>
      <c r="DU6" s="192">
        <v>580</v>
      </c>
      <c r="DV6" s="192"/>
      <c r="DW6" s="192" t="s">
        <v>4</v>
      </c>
      <c r="DX6" s="192">
        <v>170</v>
      </c>
      <c r="DY6" s="192"/>
      <c r="DZ6" s="192" t="s">
        <v>4</v>
      </c>
      <c r="EA6" s="192">
        <v>415</v>
      </c>
      <c r="EB6" s="192"/>
      <c r="EC6" s="192" t="s">
        <v>4</v>
      </c>
      <c r="ED6" s="192">
        <v>57</v>
      </c>
      <c r="EE6" s="192"/>
      <c r="EF6" s="192" t="s">
        <v>4</v>
      </c>
      <c r="EG6" s="192">
        <v>61</v>
      </c>
      <c r="EH6" s="192"/>
      <c r="EI6" s="192" t="s">
        <v>4</v>
      </c>
      <c r="EJ6" s="192">
        <v>52</v>
      </c>
      <c r="EK6" s="192"/>
      <c r="EL6" s="192" t="s">
        <v>4</v>
      </c>
      <c r="EM6" s="192">
        <v>52</v>
      </c>
      <c r="EN6" s="192"/>
      <c r="EO6" s="192" t="s">
        <v>4</v>
      </c>
      <c r="EP6" s="192">
        <v>52</v>
      </c>
      <c r="EQ6" s="192"/>
      <c r="ER6" s="192" t="s">
        <v>4</v>
      </c>
      <c r="ES6" s="192">
        <v>52</v>
      </c>
      <c r="ET6" s="192"/>
      <c r="EU6" s="192" t="s">
        <v>4</v>
      </c>
      <c r="EV6" s="192">
        <v>52</v>
      </c>
      <c r="EW6" s="192"/>
    </row>
    <row r="7" spans="10:153" s="12" customFormat="1" ht="18" hidden="1" customHeight="1">
      <c r="J7" s="152"/>
      <c r="AC7" s="147"/>
      <c r="AD7" s="147"/>
      <c r="AE7" s="147"/>
      <c r="AF7" s="159"/>
      <c r="AG7" s="159"/>
      <c r="AH7" s="192"/>
      <c r="AI7" s="192"/>
      <c r="AK7" s="192"/>
      <c r="AL7" s="192"/>
      <c r="AN7" s="192"/>
      <c r="AO7" s="192"/>
      <c r="AQ7" s="192"/>
      <c r="AR7" s="192"/>
      <c r="AT7" s="192"/>
      <c r="AU7" s="192"/>
      <c r="AW7" s="192"/>
      <c r="AX7" s="192"/>
      <c r="AZ7" s="192"/>
      <c r="BA7" s="192"/>
      <c r="BC7" s="192"/>
      <c r="BD7" s="192"/>
      <c r="BF7" s="192"/>
      <c r="BG7" s="192"/>
      <c r="BI7" s="192"/>
      <c r="BJ7" s="192"/>
      <c r="BL7" s="192"/>
      <c r="BM7" s="192"/>
      <c r="BO7" s="192"/>
      <c r="BP7" s="192"/>
      <c r="BR7" s="192"/>
      <c r="BS7" s="192"/>
      <c r="BU7" s="192"/>
      <c r="BV7" s="192"/>
      <c r="BX7" s="192"/>
      <c r="BY7" s="192"/>
      <c r="CA7" s="192"/>
      <c r="CB7" s="192"/>
      <c r="CD7" s="192"/>
      <c r="CE7" s="192"/>
      <c r="CG7" s="192"/>
      <c r="CH7" s="192"/>
      <c r="CJ7" s="192"/>
      <c r="CK7" s="192"/>
      <c r="CM7" s="192"/>
      <c r="CN7" s="192"/>
      <c r="CP7" s="192"/>
      <c r="CQ7" s="192"/>
      <c r="CS7" s="192"/>
      <c r="CT7" s="192"/>
      <c r="CV7" s="192"/>
      <c r="CW7" s="192"/>
      <c r="CY7" s="192"/>
      <c r="CZ7" s="192"/>
      <c r="DB7" s="192"/>
      <c r="DC7" s="192"/>
      <c r="DE7" s="192"/>
      <c r="DF7" s="192"/>
      <c r="DH7" s="192"/>
      <c r="DI7" s="192"/>
      <c r="DK7" s="192"/>
      <c r="DL7" s="192"/>
      <c r="DN7" s="192"/>
      <c r="DO7" s="192"/>
      <c r="DQ7" s="192"/>
      <c r="DR7" s="192"/>
      <c r="DT7" s="192"/>
      <c r="DU7" s="192"/>
      <c r="DW7" s="192"/>
      <c r="DX7" s="192"/>
      <c r="DZ7" s="192"/>
      <c r="EA7" s="192"/>
      <c r="EC7" s="192"/>
      <c r="ED7" s="192"/>
      <c r="EF7" s="192"/>
      <c r="EG7" s="192"/>
      <c r="EI7" s="192"/>
      <c r="EJ7" s="192"/>
      <c r="EL7" s="192"/>
      <c r="EM7" s="192"/>
      <c r="EO7" s="192"/>
      <c r="EP7" s="192"/>
      <c r="ER7" s="192"/>
      <c r="ES7" s="192"/>
      <c r="EU7" s="192"/>
      <c r="EV7" s="192"/>
    </row>
    <row r="8" spans="10:153" ht="18" hidden="1" customHeight="1">
      <c r="AC8" s="147"/>
      <c r="AD8" s="147"/>
      <c r="AE8" s="147"/>
      <c r="AF8" s="159"/>
      <c r="AG8" s="159"/>
      <c r="AH8" s="192"/>
      <c r="AI8" s="192"/>
      <c r="AK8" s="192"/>
      <c r="AL8" s="192"/>
      <c r="AN8" s="192"/>
      <c r="AO8" s="192"/>
      <c r="AQ8" s="192"/>
      <c r="AR8" s="192"/>
      <c r="AT8" s="192"/>
      <c r="AU8" s="192"/>
      <c r="AW8" s="192"/>
      <c r="AX8" s="192"/>
      <c r="AZ8" s="192"/>
      <c r="BA8" s="192"/>
      <c r="BC8" s="192"/>
      <c r="BD8" s="192"/>
      <c r="BF8" s="192"/>
      <c r="BG8" s="192"/>
      <c r="BI8" s="192"/>
      <c r="BJ8" s="192"/>
      <c r="BL8" s="192"/>
      <c r="BM8" s="192"/>
      <c r="BO8" s="192"/>
      <c r="BP8" s="192"/>
      <c r="BR8" s="192"/>
      <c r="BS8" s="192"/>
      <c r="BU8" s="192"/>
      <c r="BV8" s="192"/>
      <c r="BX8" s="192"/>
      <c r="BY8" s="192"/>
      <c r="CA8" s="192"/>
      <c r="CB8" s="192"/>
      <c r="CD8" s="192"/>
      <c r="CE8" s="192"/>
      <c r="CG8" s="192"/>
      <c r="CH8" s="192"/>
      <c r="CJ8" s="192"/>
      <c r="CK8" s="192"/>
      <c r="CM8" s="192"/>
      <c r="CN8" s="192"/>
      <c r="CP8" s="192"/>
      <c r="CQ8" s="192"/>
      <c r="CS8" s="192"/>
      <c r="CT8" s="192"/>
      <c r="CV8" s="192"/>
      <c r="CW8" s="192"/>
      <c r="CY8" s="192"/>
      <c r="CZ8" s="192"/>
      <c r="DB8" s="192"/>
      <c r="DC8" s="192"/>
      <c r="DE8" s="192"/>
      <c r="DF8" s="192"/>
      <c r="DH8" s="192"/>
      <c r="DI8" s="192"/>
      <c r="DK8" s="192"/>
      <c r="DL8" s="192"/>
      <c r="DN8" s="192"/>
      <c r="DO8" s="192"/>
      <c r="DQ8" s="192"/>
      <c r="DR8" s="192"/>
      <c r="DT8" s="192"/>
      <c r="DU8" s="192"/>
      <c r="DW8" s="192"/>
      <c r="DX8" s="192"/>
      <c r="DZ8" s="192"/>
      <c r="EA8" s="192"/>
      <c r="EC8" s="192"/>
      <c r="ED8" s="192"/>
      <c r="EF8" s="192"/>
      <c r="EG8" s="192"/>
      <c r="EI8" s="192"/>
      <c r="EJ8" s="192"/>
      <c r="EL8" s="192"/>
      <c r="EM8" s="192"/>
      <c r="EO8" s="192"/>
      <c r="EP8" s="192"/>
      <c r="ER8" s="192"/>
      <c r="ES8" s="192"/>
      <c r="EU8" s="192"/>
      <c r="EV8" s="192"/>
    </row>
    <row r="9" spans="10:153" ht="18" hidden="1" customHeight="1">
      <c r="N9" s="147"/>
      <c r="O9" s="147"/>
      <c r="P9" s="147"/>
      <c r="Q9" s="147"/>
      <c r="R9" s="147"/>
      <c r="S9" s="147"/>
      <c r="T9" s="147"/>
      <c r="U9" s="147"/>
      <c r="V9" s="147"/>
      <c r="W9" s="147"/>
      <c r="X9" s="147"/>
      <c r="AC9" s="147"/>
      <c r="AD9" s="147"/>
      <c r="AE9" s="147"/>
      <c r="AF9" s="147"/>
      <c r="AG9" s="147"/>
      <c r="AH9" s="147"/>
      <c r="AI9" s="147"/>
      <c r="AK9" s="147"/>
      <c r="AL9" s="147"/>
      <c r="AN9" s="147"/>
      <c r="AO9" s="147"/>
      <c r="AQ9" s="147"/>
      <c r="AR9" s="147"/>
      <c r="AT9" s="147"/>
      <c r="AU9" s="147"/>
      <c r="AW9" s="147"/>
      <c r="AX9" s="147"/>
      <c r="AZ9" s="147"/>
      <c r="BA9" s="147"/>
      <c r="BC9" s="147"/>
      <c r="BD9" s="147"/>
      <c r="BF9" s="147"/>
      <c r="BG9" s="147"/>
      <c r="BI9" s="147"/>
      <c r="BJ9" s="147"/>
      <c r="BL9" s="147"/>
      <c r="BM9" s="147"/>
      <c r="BO9" s="147"/>
      <c r="BP9" s="147"/>
      <c r="BR9" s="147"/>
      <c r="BS9" s="147"/>
      <c r="BU9" s="147"/>
      <c r="BV9" s="147"/>
      <c r="BX9" s="147"/>
      <c r="BY9" s="147"/>
      <c r="CA9" s="147"/>
      <c r="CB9" s="147"/>
      <c r="CD9" s="147"/>
      <c r="CE9" s="147"/>
      <c r="CG9" s="147"/>
      <c r="CH9" s="147"/>
      <c r="CJ9" s="147"/>
      <c r="CK9" s="147"/>
      <c r="CM9" s="147"/>
      <c r="CN9" s="147"/>
      <c r="CP9" s="147"/>
      <c r="CQ9" s="147"/>
      <c r="CS9" s="147"/>
      <c r="CT9" s="147"/>
      <c r="CV9" s="147"/>
      <c r="CW9" s="147"/>
      <c r="CY9" s="147"/>
      <c r="CZ9" s="147"/>
      <c r="DB9" s="147"/>
      <c r="DC9" s="147"/>
      <c r="DE9" s="147"/>
      <c r="DF9" s="147"/>
      <c r="DH9" s="147"/>
      <c r="DI9" s="147"/>
      <c r="DK9" s="147"/>
      <c r="DL9" s="147"/>
      <c r="DN9" s="147"/>
      <c r="DO9" s="147"/>
      <c r="DQ9" s="147"/>
      <c r="DR9" s="147"/>
      <c r="DT9" s="147"/>
      <c r="DU9" s="147"/>
      <c r="DW9" s="147"/>
      <c r="DX9" s="147"/>
      <c r="DZ9" s="147"/>
      <c r="EA9" s="147"/>
      <c r="EC9" s="147"/>
      <c r="ED9" s="147"/>
      <c r="EF9" s="147"/>
      <c r="EG9" s="147"/>
      <c r="EI9" s="147"/>
      <c r="EJ9" s="147"/>
      <c r="EL9" s="147"/>
      <c r="EM9" s="147"/>
      <c r="EO9" s="147"/>
      <c r="EP9" s="147"/>
      <c r="ER9" s="147"/>
      <c r="ES9" s="147"/>
      <c r="EU9" s="147"/>
      <c r="EV9" s="147"/>
    </row>
    <row r="10" spans="10:153" ht="18" hidden="1" customHeight="1">
      <c r="N10" s="163" t="s">
        <v>57</v>
      </c>
      <c r="O10" s="163" t="s">
        <v>45</v>
      </c>
      <c r="P10" s="147" t="s">
        <v>151</v>
      </c>
      <c r="Q10" s="163" t="s">
        <v>58</v>
      </c>
      <c r="R10" s="163" t="s">
        <v>59</v>
      </c>
      <c r="S10" s="147" t="s">
        <v>156</v>
      </c>
      <c r="T10" s="163" t="s">
        <v>103</v>
      </c>
      <c r="U10" s="163" t="s">
        <v>104</v>
      </c>
      <c r="V10" s="147"/>
      <c r="W10" s="163"/>
      <c r="X10" s="163"/>
      <c r="Y10" s="163"/>
      <c r="Z10" s="163"/>
      <c r="AA10" s="163"/>
      <c r="AC10" s="147"/>
      <c r="AD10" s="147"/>
      <c r="AE10" s="147"/>
      <c r="AF10" s="147"/>
      <c r="AG10" s="147"/>
      <c r="AH10" s="147"/>
      <c r="AI10" s="147"/>
      <c r="AK10" s="147"/>
      <c r="AL10" s="147"/>
      <c r="AN10" s="147"/>
      <c r="AO10" s="147"/>
      <c r="AQ10" s="147"/>
      <c r="AR10" s="147"/>
      <c r="AT10" s="147"/>
      <c r="AU10" s="147"/>
      <c r="AW10" s="147"/>
      <c r="AX10" s="147"/>
      <c r="AZ10" s="147"/>
      <c r="BA10" s="147"/>
      <c r="BC10" s="147"/>
      <c r="BD10" s="147"/>
      <c r="BF10" s="147"/>
      <c r="BG10" s="147"/>
      <c r="BI10" s="147"/>
      <c r="BJ10" s="147"/>
      <c r="BL10" s="147"/>
      <c r="BM10" s="147"/>
      <c r="BO10" s="147"/>
      <c r="BP10" s="147"/>
      <c r="BR10" s="147"/>
      <c r="BS10" s="147"/>
      <c r="BU10" s="147"/>
      <c r="BV10" s="147"/>
      <c r="BX10" s="147"/>
      <c r="BY10" s="147"/>
      <c r="CA10" s="147"/>
      <c r="CB10" s="147"/>
      <c r="CD10" s="147"/>
      <c r="CE10" s="147"/>
      <c r="CG10" s="147"/>
      <c r="CH10" s="147"/>
      <c r="CJ10" s="147"/>
      <c r="CK10" s="147"/>
      <c r="CM10" s="147"/>
      <c r="CN10" s="147"/>
      <c r="CP10" s="147"/>
      <c r="CQ10" s="147"/>
      <c r="CS10" s="147"/>
      <c r="CT10" s="147"/>
      <c r="CV10" s="147"/>
      <c r="CW10" s="147"/>
      <c r="CY10" s="147"/>
      <c r="CZ10" s="147"/>
      <c r="DB10" s="147"/>
      <c r="DC10" s="147"/>
      <c r="DE10" s="147"/>
      <c r="DF10" s="147"/>
      <c r="DH10" s="147"/>
      <c r="DI10" s="147"/>
      <c r="DK10" s="147"/>
      <c r="DL10" s="147"/>
      <c r="DN10" s="147"/>
      <c r="DO10" s="147"/>
      <c r="DQ10" s="147"/>
      <c r="DR10" s="147"/>
      <c r="DT10" s="147"/>
      <c r="DU10" s="147"/>
      <c r="DW10" s="147"/>
      <c r="DX10" s="147"/>
      <c r="DZ10" s="147"/>
      <c r="EA10" s="147"/>
      <c r="EC10" s="147"/>
      <c r="ED10" s="147"/>
      <c r="EF10" s="147"/>
      <c r="EG10" s="147"/>
      <c r="EI10" s="147"/>
      <c r="EJ10" s="147"/>
      <c r="EL10" s="147"/>
      <c r="EM10" s="147"/>
      <c r="EO10" s="147"/>
      <c r="EP10" s="147"/>
      <c r="ER10" s="147"/>
      <c r="ES10" s="147"/>
      <c r="EU10" s="147"/>
      <c r="EV10" s="147"/>
    </row>
    <row r="11" spans="10:153" ht="18" hidden="1" customHeight="1">
      <c r="N11" s="163" t="s">
        <v>38</v>
      </c>
      <c r="O11" s="163" t="s">
        <v>39</v>
      </c>
      <c r="P11" s="163" t="s">
        <v>102</v>
      </c>
      <c r="Q11" s="147" t="s">
        <v>152</v>
      </c>
      <c r="R11" s="163" t="s">
        <v>154</v>
      </c>
      <c r="S11" s="147" t="s">
        <v>155</v>
      </c>
      <c r="T11" s="147" t="s">
        <v>153</v>
      </c>
      <c r="U11" s="147" t="s">
        <v>157</v>
      </c>
      <c r="V11" s="147"/>
      <c r="W11" s="147"/>
      <c r="X11" s="147"/>
      <c r="Y11" s="147"/>
      <c r="Z11" s="147"/>
      <c r="AA11" s="147"/>
      <c r="AC11" s="147"/>
      <c r="AD11" s="147"/>
      <c r="AE11" s="147"/>
      <c r="AF11" s="147"/>
      <c r="AG11" s="147"/>
      <c r="AH11" s="147"/>
      <c r="AI11" s="147"/>
      <c r="AK11" s="147"/>
      <c r="AL11" s="147"/>
      <c r="AN11" s="147"/>
      <c r="AO11" s="147"/>
      <c r="AQ11" s="147"/>
      <c r="AR11" s="147"/>
      <c r="AT11" s="147"/>
      <c r="AU11" s="147"/>
      <c r="AW11" s="147"/>
      <c r="AX11" s="147"/>
      <c r="AZ11" s="147"/>
      <c r="BA11" s="147"/>
      <c r="BC11" s="147"/>
      <c r="BD11" s="147"/>
      <c r="BF11" s="147"/>
      <c r="BG11" s="147"/>
      <c r="BI11" s="147"/>
      <c r="BJ11" s="147"/>
      <c r="BL11" s="147"/>
      <c r="BM11" s="147"/>
      <c r="BO11" s="147"/>
      <c r="BP11" s="147"/>
      <c r="BR11" s="147"/>
      <c r="BS11" s="147"/>
      <c r="BU11" s="147"/>
      <c r="BV11" s="147"/>
      <c r="BX11" s="147"/>
      <c r="BY11" s="147"/>
      <c r="CA11" s="147"/>
      <c r="CB11" s="147"/>
      <c r="CD11" s="147"/>
      <c r="CE11" s="147"/>
      <c r="CG11" s="147"/>
      <c r="CH11" s="147"/>
      <c r="CJ11" s="147"/>
      <c r="CK11" s="147"/>
      <c r="CM11" s="147"/>
      <c r="CN11" s="147"/>
      <c r="CP11" s="147"/>
      <c r="CQ11" s="147"/>
      <c r="CS11" s="147"/>
      <c r="CT11" s="147"/>
      <c r="CV11" s="147"/>
      <c r="CW11" s="147"/>
      <c r="CY11" s="147"/>
      <c r="CZ11" s="147"/>
      <c r="DB11" s="147"/>
      <c r="DC11" s="147"/>
      <c r="DE11" s="147"/>
      <c r="DF11" s="147"/>
      <c r="DH11" s="147"/>
      <c r="DI11" s="147"/>
      <c r="DK11" s="147"/>
      <c r="DL11" s="147"/>
      <c r="DN11" s="147"/>
      <c r="DO11" s="147"/>
      <c r="DQ11" s="147"/>
      <c r="DR11" s="147"/>
      <c r="DT11" s="147"/>
      <c r="DU11" s="147"/>
      <c r="DW11" s="147"/>
      <c r="DX11" s="147"/>
      <c r="DZ11" s="147"/>
      <c r="EA11" s="147"/>
      <c r="EC11" s="147"/>
      <c r="ED11" s="147"/>
      <c r="EF11" s="147"/>
      <c r="EG11" s="147"/>
      <c r="EI11" s="147"/>
      <c r="EJ11" s="147"/>
      <c r="EL11" s="147"/>
      <c r="EM11" s="147"/>
      <c r="EO11" s="147"/>
      <c r="EP11" s="147"/>
      <c r="ER11" s="147"/>
      <c r="ES11" s="147"/>
      <c r="EU11" s="147"/>
      <c r="EV11" s="147"/>
    </row>
    <row r="12" spans="10:153" s="55" customFormat="1" ht="18" customHeight="1">
      <c r="J12" s="59"/>
      <c r="K12" s="252" t="s">
        <v>115</v>
      </c>
      <c r="L12" s="253"/>
      <c r="M12" s="256" t="s">
        <v>116</v>
      </c>
      <c r="N12" s="258" t="s">
        <v>117</v>
      </c>
      <c r="O12" s="259"/>
      <c r="P12" s="260"/>
      <c r="Q12" s="274" t="s">
        <v>118</v>
      </c>
      <c r="R12" s="274"/>
      <c r="S12" s="274"/>
      <c r="T12" s="104"/>
      <c r="U12" s="69"/>
      <c r="V12" s="179"/>
      <c r="W12" s="179"/>
      <c r="X12" s="179"/>
      <c r="Y12" s="179"/>
      <c r="Z12" s="180"/>
      <c r="AA12" s="271" t="s">
        <v>119</v>
      </c>
      <c r="AB12" s="251"/>
      <c r="AC12" s="300" t="s">
        <v>13</v>
      </c>
      <c r="AD12" s="300"/>
      <c r="AE12" s="364" t="s">
        <v>120</v>
      </c>
      <c r="AF12" s="365"/>
      <c r="AG12" s="365"/>
      <c r="AH12" s="216" t="s">
        <v>253</v>
      </c>
      <c r="AI12" s="216"/>
      <c r="AJ12" s="217"/>
      <c r="AK12" s="216" t="s">
        <v>254</v>
      </c>
      <c r="AL12" s="216"/>
      <c r="AM12" s="217"/>
      <c r="AN12" s="216" t="s">
        <v>255</v>
      </c>
      <c r="AO12" s="216"/>
      <c r="AP12" s="217"/>
      <c r="AQ12" s="216" t="s">
        <v>256</v>
      </c>
      <c r="AR12" s="216"/>
      <c r="AS12" s="217"/>
      <c r="AT12" s="216" t="s">
        <v>257</v>
      </c>
      <c r="AU12" s="216"/>
      <c r="AV12" s="217"/>
      <c r="AW12" s="216" t="s">
        <v>258</v>
      </c>
      <c r="AX12" s="216"/>
      <c r="AY12" s="217"/>
      <c r="AZ12" s="216" t="s">
        <v>259</v>
      </c>
      <c r="BA12" s="216"/>
      <c r="BB12" s="217"/>
      <c r="BC12" s="216" t="s">
        <v>260</v>
      </c>
      <c r="BD12" s="216"/>
      <c r="BE12" s="217"/>
      <c r="BF12" s="216" t="s">
        <v>261</v>
      </c>
      <c r="BG12" s="216"/>
      <c r="BH12" s="217"/>
      <c r="BI12" s="216" t="s">
        <v>262</v>
      </c>
      <c r="BJ12" s="216"/>
      <c r="BK12" s="217"/>
      <c r="BL12" s="216" t="s">
        <v>263</v>
      </c>
      <c r="BM12" s="216"/>
      <c r="BN12" s="217"/>
      <c r="BO12" s="216" t="s">
        <v>264</v>
      </c>
      <c r="BP12" s="216"/>
      <c r="BQ12" s="217"/>
      <c r="BR12" s="216" t="s">
        <v>265</v>
      </c>
      <c r="BS12" s="216"/>
      <c r="BT12" s="217"/>
      <c r="BU12" s="301" t="s">
        <v>265</v>
      </c>
      <c r="BV12" s="301"/>
      <c r="BW12" s="302"/>
      <c r="BX12" s="216" t="s">
        <v>266</v>
      </c>
      <c r="BY12" s="216"/>
      <c r="BZ12" s="217"/>
      <c r="CA12" s="216" t="s">
        <v>267</v>
      </c>
      <c r="CB12" s="216"/>
      <c r="CC12" s="217"/>
      <c r="CD12" s="216" t="s">
        <v>268</v>
      </c>
      <c r="CE12" s="216"/>
      <c r="CF12" s="217"/>
      <c r="CG12" s="366" t="s">
        <v>269</v>
      </c>
      <c r="CH12" s="366"/>
      <c r="CI12" s="367"/>
      <c r="CJ12" s="216" t="s">
        <v>270</v>
      </c>
      <c r="CK12" s="216"/>
      <c r="CL12" s="217"/>
      <c r="CM12" s="216" t="s">
        <v>271</v>
      </c>
      <c r="CN12" s="216"/>
      <c r="CO12" s="217"/>
      <c r="CP12" s="216" t="s">
        <v>272</v>
      </c>
      <c r="CQ12" s="216"/>
      <c r="CR12" s="217"/>
      <c r="CS12" s="309" t="s">
        <v>273</v>
      </c>
      <c r="CT12" s="309"/>
      <c r="CU12" s="310"/>
      <c r="CV12" s="309" t="s">
        <v>273</v>
      </c>
      <c r="CW12" s="309"/>
      <c r="CX12" s="310"/>
      <c r="CY12" s="309" t="s">
        <v>273</v>
      </c>
      <c r="CZ12" s="309"/>
      <c r="DA12" s="310"/>
      <c r="DB12" s="309" t="s">
        <v>273</v>
      </c>
      <c r="DC12" s="309"/>
      <c r="DD12" s="310"/>
      <c r="DE12" s="317" t="s">
        <v>274</v>
      </c>
      <c r="DF12" s="317"/>
      <c r="DG12" s="318"/>
      <c r="DH12" s="317" t="s">
        <v>274</v>
      </c>
      <c r="DI12" s="317"/>
      <c r="DJ12" s="318"/>
      <c r="DK12" s="368" t="s">
        <v>275</v>
      </c>
      <c r="DL12" s="368"/>
      <c r="DM12" s="369"/>
      <c r="DN12" s="325" t="s">
        <v>276</v>
      </c>
      <c r="DO12" s="325"/>
      <c r="DP12" s="326"/>
      <c r="DQ12" s="325" t="s">
        <v>277</v>
      </c>
      <c r="DR12" s="325"/>
      <c r="DS12" s="326"/>
      <c r="DT12" s="325" t="s">
        <v>278</v>
      </c>
      <c r="DU12" s="325"/>
      <c r="DV12" s="326"/>
      <c r="DW12" s="325" t="s">
        <v>279</v>
      </c>
      <c r="DX12" s="325"/>
      <c r="DY12" s="326"/>
      <c r="DZ12" s="325" t="s">
        <v>280</v>
      </c>
      <c r="EA12" s="325"/>
      <c r="EB12" s="326"/>
      <c r="EC12" s="333" t="s">
        <v>281</v>
      </c>
      <c r="ED12" s="333"/>
      <c r="EE12" s="334"/>
      <c r="EF12" s="333" t="s">
        <v>282</v>
      </c>
      <c r="EG12" s="333"/>
      <c r="EH12" s="334"/>
      <c r="EI12" s="333" t="s">
        <v>283</v>
      </c>
      <c r="EJ12" s="333"/>
      <c r="EK12" s="334"/>
      <c r="EL12" s="333" t="s">
        <v>284</v>
      </c>
      <c r="EM12" s="333"/>
      <c r="EN12" s="334"/>
      <c r="EO12" s="333" t="s">
        <v>285</v>
      </c>
      <c r="EP12" s="333"/>
      <c r="EQ12" s="334"/>
      <c r="ER12" s="333" t="s">
        <v>286</v>
      </c>
      <c r="ES12" s="333"/>
      <c r="ET12" s="334"/>
      <c r="EU12" s="333" t="s">
        <v>287</v>
      </c>
      <c r="EV12" s="333"/>
      <c r="EW12" s="334"/>
    </row>
    <row r="13" spans="10:153" s="55" customFormat="1" ht="18" customHeight="1">
      <c r="J13" s="59"/>
      <c r="K13" s="254"/>
      <c r="L13" s="255"/>
      <c r="M13" s="257"/>
      <c r="N13" s="261" t="s">
        <v>168</v>
      </c>
      <c r="O13" s="262"/>
      <c r="P13" s="263"/>
      <c r="Q13" s="178" t="s">
        <v>173</v>
      </c>
      <c r="R13" s="178"/>
      <c r="S13" s="178" t="s">
        <v>174</v>
      </c>
      <c r="T13" s="105"/>
      <c r="U13" s="69"/>
      <c r="V13" s="179"/>
      <c r="W13" s="179"/>
      <c r="X13" s="179"/>
      <c r="Y13" s="179"/>
      <c r="Z13" s="180"/>
      <c r="AA13" s="177" t="s">
        <v>1</v>
      </c>
      <c r="AB13" s="176" t="s">
        <v>4</v>
      </c>
      <c r="AC13" s="300" t="s">
        <v>14</v>
      </c>
      <c r="AD13" s="300"/>
      <c r="AE13" s="362" t="s">
        <v>416</v>
      </c>
      <c r="AF13" s="363"/>
      <c r="AG13" s="363"/>
      <c r="AH13" s="216" t="s">
        <v>344</v>
      </c>
      <c r="AI13" s="216"/>
      <c r="AJ13" s="217"/>
      <c r="AK13" s="216" t="s">
        <v>346</v>
      </c>
      <c r="AL13" s="216"/>
      <c r="AM13" s="217"/>
      <c r="AN13" s="216" t="s">
        <v>348</v>
      </c>
      <c r="AO13" s="216"/>
      <c r="AP13" s="217"/>
      <c r="AQ13" s="216" t="s">
        <v>350</v>
      </c>
      <c r="AR13" s="216"/>
      <c r="AS13" s="217"/>
      <c r="AT13" s="216" t="s">
        <v>351</v>
      </c>
      <c r="AU13" s="216"/>
      <c r="AV13" s="217"/>
      <c r="AW13" s="216" t="s">
        <v>352</v>
      </c>
      <c r="AX13" s="216"/>
      <c r="AY13" s="217"/>
      <c r="AZ13" s="216" t="s">
        <v>356</v>
      </c>
      <c r="BA13" s="216"/>
      <c r="BB13" s="217"/>
      <c r="BC13" s="216" t="s">
        <v>357</v>
      </c>
      <c r="BD13" s="216"/>
      <c r="BE13" s="217"/>
      <c r="BF13" s="216" t="s">
        <v>358</v>
      </c>
      <c r="BG13" s="216"/>
      <c r="BH13" s="217"/>
      <c r="BI13" s="216" t="s">
        <v>362</v>
      </c>
      <c r="BJ13" s="216"/>
      <c r="BK13" s="217"/>
      <c r="BL13" s="216" t="s">
        <v>363</v>
      </c>
      <c r="BM13" s="216"/>
      <c r="BN13" s="217"/>
      <c r="BO13" s="216" t="s">
        <v>364</v>
      </c>
      <c r="BP13" s="216"/>
      <c r="BQ13" s="217"/>
      <c r="BR13" s="216" t="s">
        <v>368</v>
      </c>
      <c r="BS13" s="216"/>
      <c r="BT13" s="217"/>
      <c r="BU13" s="301" t="s">
        <v>368</v>
      </c>
      <c r="BV13" s="301"/>
      <c r="BW13" s="302"/>
      <c r="BX13" s="216" t="s">
        <v>370</v>
      </c>
      <c r="BY13" s="216"/>
      <c r="BZ13" s="217"/>
      <c r="CA13" s="216" t="s">
        <v>371</v>
      </c>
      <c r="CB13" s="216"/>
      <c r="CC13" s="217"/>
      <c r="CD13" s="216" t="s">
        <v>372</v>
      </c>
      <c r="CE13" s="216"/>
      <c r="CF13" s="217"/>
      <c r="CG13" s="366" t="s">
        <v>414</v>
      </c>
      <c r="CH13" s="366"/>
      <c r="CI13" s="367"/>
      <c r="CJ13" s="216" t="s">
        <v>373</v>
      </c>
      <c r="CK13" s="216"/>
      <c r="CL13" s="217"/>
      <c r="CM13" s="216" t="s">
        <v>374</v>
      </c>
      <c r="CN13" s="216"/>
      <c r="CO13" s="217"/>
      <c r="CP13" s="216" t="s">
        <v>375</v>
      </c>
      <c r="CQ13" s="216"/>
      <c r="CR13" s="217"/>
      <c r="CS13" s="309" t="s">
        <v>382</v>
      </c>
      <c r="CT13" s="309"/>
      <c r="CU13" s="310"/>
      <c r="CV13" s="309" t="s">
        <v>382</v>
      </c>
      <c r="CW13" s="309"/>
      <c r="CX13" s="310"/>
      <c r="CY13" s="309" t="s">
        <v>382</v>
      </c>
      <c r="CZ13" s="309"/>
      <c r="DA13" s="310"/>
      <c r="DB13" s="309" t="s">
        <v>382</v>
      </c>
      <c r="DC13" s="309"/>
      <c r="DD13" s="310"/>
      <c r="DE13" s="317" t="s">
        <v>384</v>
      </c>
      <c r="DF13" s="317"/>
      <c r="DG13" s="318"/>
      <c r="DH13" s="317" t="s">
        <v>384</v>
      </c>
      <c r="DI13" s="317"/>
      <c r="DJ13" s="318"/>
      <c r="DK13" s="368" t="s">
        <v>417</v>
      </c>
      <c r="DL13" s="368"/>
      <c r="DM13" s="369"/>
      <c r="DN13" s="325" t="s">
        <v>386</v>
      </c>
      <c r="DO13" s="325"/>
      <c r="DP13" s="326"/>
      <c r="DQ13" s="325" t="s">
        <v>387</v>
      </c>
      <c r="DR13" s="325"/>
      <c r="DS13" s="326"/>
      <c r="DT13" s="325" t="s">
        <v>388</v>
      </c>
      <c r="DU13" s="325"/>
      <c r="DV13" s="326"/>
      <c r="DW13" s="325" t="s">
        <v>389</v>
      </c>
      <c r="DX13" s="325"/>
      <c r="DY13" s="326"/>
      <c r="DZ13" s="325" t="s">
        <v>390</v>
      </c>
      <c r="EA13" s="325"/>
      <c r="EB13" s="326"/>
      <c r="EC13" s="333" t="s">
        <v>396</v>
      </c>
      <c r="ED13" s="333"/>
      <c r="EE13" s="334"/>
      <c r="EF13" s="333" t="s">
        <v>397</v>
      </c>
      <c r="EG13" s="333"/>
      <c r="EH13" s="334"/>
      <c r="EI13" s="333" t="s">
        <v>398</v>
      </c>
      <c r="EJ13" s="333"/>
      <c r="EK13" s="334"/>
      <c r="EL13" s="333" t="s">
        <v>399</v>
      </c>
      <c r="EM13" s="333"/>
      <c r="EN13" s="334"/>
      <c r="EO13" s="333" t="s">
        <v>400</v>
      </c>
      <c r="EP13" s="333"/>
      <c r="EQ13" s="334"/>
      <c r="ER13" s="333" t="s">
        <v>401</v>
      </c>
      <c r="ES13" s="333"/>
      <c r="ET13" s="334"/>
      <c r="EU13" s="333" t="s">
        <v>402</v>
      </c>
      <c r="EV13" s="333"/>
      <c r="EW13" s="334"/>
    </row>
    <row r="14" spans="10:153" s="55" customFormat="1" ht="18" customHeight="1">
      <c r="J14" s="59"/>
      <c r="K14" s="273" t="s">
        <v>121</v>
      </c>
      <c r="L14" s="273"/>
      <c r="M14" s="273"/>
      <c r="N14" s="264" t="s">
        <v>122</v>
      </c>
      <c r="O14" s="264"/>
      <c r="P14" s="264"/>
      <c r="Q14" s="277" t="s">
        <v>123</v>
      </c>
      <c r="R14" s="278"/>
      <c r="S14" s="279"/>
      <c r="T14" s="106"/>
      <c r="U14" s="69"/>
      <c r="V14" s="179"/>
      <c r="W14" s="179"/>
      <c r="X14" s="179"/>
      <c r="Y14" s="179"/>
      <c r="Z14" s="180"/>
      <c r="AA14" s="250" t="s">
        <v>124</v>
      </c>
      <c r="AB14" s="251"/>
      <c r="AC14" s="300" t="s">
        <v>15</v>
      </c>
      <c r="AD14" s="300"/>
      <c r="AE14" s="362" t="s">
        <v>298</v>
      </c>
      <c r="AF14" s="363"/>
      <c r="AG14" s="363"/>
      <c r="AH14" s="216" t="s">
        <v>345</v>
      </c>
      <c r="AI14" s="216"/>
      <c r="AJ14" s="217"/>
      <c r="AK14" s="216" t="s">
        <v>347</v>
      </c>
      <c r="AL14" s="216"/>
      <c r="AM14" s="217"/>
      <c r="AN14" s="216" t="s">
        <v>349</v>
      </c>
      <c r="AO14" s="216"/>
      <c r="AP14" s="217"/>
      <c r="AQ14" s="216" t="s">
        <v>353</v>
      </c>
      <c r="AR14" s="216"/>
      <c r="AS14" s="217"/>
      <c r="AT14" s="216" t="s">
        <v>354</v>
      </c>
      <c r="AU14" s="216"/>
      <c r="AV14" s="217"/>
      <c r="AW14" s="216" t="s">
        <v>355</v>
      </c>
      <c r="AX14" s="216"/>
      <c r="AY14" s="217"/>
      <c r="AZ14" s="216" t="s">
        <v>359</v>
      </c>
      <c r="BA14" s="216"/>
      <c r="BB14" s="217"/>
      <c r="BC14" s="216" t="s">
        <v>360</v>
      </c>
      <c r="BD14" s="216"/>
      <c r="BE14" s="217"/>
      <c r="BF14" s="216" t="s">
        <v>361</v>
      </c>
      <c r="BG14" s="216"/>
      <c r="BH14" s="217"/>
      <c r="BI14" s="216" t="s">
        <v>365</v>
      </c>
      <c r="BJ14" s="216"/>
      <c r="BK14" s="217"/>
      <c r="BL14" s="216" t="s">
        <v>366</v>
      </c>
      <c r="BM14" s="216"/>
      <c r="BN14" s="217"/>
      <c r="BO14" s="216" t="s">
        <v>367</v>
      </c>
      <c r="BP14" s="216"/>
      <c r="BQ14" s="217"/>
      <c r="BR14" s="216" t="s">
        <v>369</v>
      </c>
      <c r="BS14" s="216"/>
      <c r="BT14" s="217"/>
      <c r="BU14" s="301" t="s">
        <v>369</v>
      </c>
      <c r="BV14" s="301"/>
      <c r="BW14" s="302"/>
      <c r="BX14" s="216" t="s">
        <v>376</v>
      </c>
      <c r="BY14" s="216"/>
      <c r="BZ14" s="217"/>
      <c r="CA14" s="216" t="s">
        <v>377</v>
      </c>
      <c r="CB14" s="216"/>
      <c r="CC14" s="217"/>
      <c r="CD14" s="216" t="s">
        <v>378</v>
      </c>
      <c r="CE14" s="216"/>
      <c r="CF14" s="217"/>
      <c r="CG14" s="366" t="s">
        <v>415</v>
      </c>
      <c r="CH14" s="366"/>
      <c r="CI14" s="367"/>
      <c r="CJ14" s="216" t="s">
        <v>379</v>
      </c>
      <c r="CK14" s="216"/>
      <c r="CL14" s="217"/>
      <c r="CM14" s="216" t="s">
        <v>380</v>
      </c>
      <c r="CN14" s="216"/>
      <c r="CO14" s="217"/>
      <c r="CP14" s="216" t="s">
        <v>381</v>
      </c>
      <c r="CQ14" s="216"/>
      <c r="CR14" s="217"/>
      <c r="CS14" s="309" t="s">
        <v>383</v>
      </c>
      <c r="CT14" s="309"/>
      <c r="CU14" s="310"/>
      <c r="CV14" s="309" t="s">
        <v>383</v>
      </c>
      <c r="CW14" s="309"/>
      <c r="CX14" s="310"/>
      <c r="CY14" s="309" t="s">
        <v>383</v>
      </c>
      <c r="CZ14" s="309"/>
      <c r="DA14" s="310"/>
      <c r="DB14" s="309" t="s">
        <v>383</v>
      </c>
      <c r="DC14" s="309"/>
      <c r="DD14" s="310"/>
      <c r="DE14" s="317" t="s">
        <v>385</v>
      </c>
      <c r="DF14" s="317"/>
      <c r="DG14" s="318"/>
      <c r="DH14" s="317" t="s">
        <v>385</v>
      </c>
      <c r="DI14" s="317"/>
      <c r="DJ14" s="318"/>
      <c r="DK14" s="368" t="s">
        <v>418</v>
      </c>
      <c r="DL14" s="368"/>
      <c r="DM14" s="369"/>
      <c r="DN14" s="325" t="s">
        <v>391</v>
      </c>
      <c r="DO14" s="325"/>
      <c r="DP14" s="326"/>
      <c r="DQ14" s="325" t="s">
        <v>392</v>
      </c>
      <c r="DR14" s="325"/>
      <c r="DS14" s="326"/>
      <c r="DT14" s="325" t="s">
        <v>393</v>
      </c>
      <c r="DU14" s="325"/>
      <c r="DV14" s="326"/>
      <c r="DW14" s="325" t="s">
        <v>394</v>
      </c>
      <c r="DX14" s="325"/>
      <c r="DY14" s="326"/>
      <c r="DZ14" s="325" t="s">
        <v>395</v>
      </c>
      <c r="EA14" s="325"/>
      <c r="EB14" s="326"/>
      <c r="EC14" s="333" t="s">
        <v>403</v>
      </c>
      <c r="ED14" s="333"/>
      <c r="EE14" s="334"/>
      <c r="EF14" s="333" t="s">
        <v>404</v>
      </c>
      <c r="EG14" s="333"/>
      <c r="EH14" s="334"/>
      <c r="EI14" s="333" t="s">
        <v>405</v>
      </c>
      <c r="EJ14" s="333"/>
      <c r="EK14" s="334"/>
      <c r="EL14" s="333" t="s">
        <v>406</v>
      </c>
      <c r="EM14" s="333"/>
      <c r="EN14" s="334"/>
      <c r="EO14" s="333" t="s">
        <v>407</v>
      </c>
      <c r="EP14" s="333"/>
      <c r="EQ14" s="334"/>
      <c r="ER14" s="333" t="s">
        <v>408</v>
      </c>
      <c r="ES14" s="333"/>
      <c r="ET14" s="334"/>
      <c r="EU14" s="333" t="s">
        <v>409</v>
      </c>
      <c r="EV14" s="333"/>
      <c r="EW14" s="334"/>
    </row>
    <row r="15" spans="10:153" ht="18" customHeight="1">
      <c r="K15" s="272" t="s">
        <v>170</v>
      </c>
      <c r="L15" s="272"/>
      <c r="M15" s="272"/>
      <c r="N15" s="265" t="s">
        <v>171</v>
      </c>
      <c r="O15" s="266"/>
      <c r="P15" s="267"/>
      <c r="Q15" s="280" t="s">
        <v>39</v>
      </c>
      <c r="R15" s="281"/>
      <c r="S15" s="282"/>
      <c r="T15" s="56"/>
      <c r="U15" s="69"/>
      <c r="V15" s="179"/>
      <c r="W15" s="179"/>
      <c r="X15" s="179"/>
      <c r="Y15" s="179"/>
      <c r="Z15" s="180"/>
      <c r="AA15" s="177">
        <v>1</v>
      </c>
      <c r="AB15" s="176">
        <v>1</v>
      </c>
      <c r="AC15" s="276" t="s">
        <v>42</v>
      </c>
      <c r="AD15" s="170" t="s">
        <v>6</v>
      </c>
      <c r="AE15" s="233">
        <v>-10950</v>
      </c>
      <c r="AF15" s="234"/>
      <c r="AG15" s="234"/>
      <c r="AH15" s="222">
        <v>-425</v>
      </c>
      <c r="AI15" s="223"/>
      <c r="AJ15" s="224"/>
      <c r="AK15" s="222">
        <v>-425</v>
      </c>
      <c r="AL15" s="223"/>
      <c r="AM15" s="224"/>
      <c r="AN15" s="222">
        <v>-425</v>
      </c>
      <c r="AO15" s="223"/>
      <c r="AP15" s="224"/>
      <c r="AQ15" s="222">
        <v>-425</v>
      </c>
      <c r="AR15" s="223"/>
      <c r="AS15" s="224"/>
      <c r="AT15" s="222">
        <v>-425</v>
      </c>
      <c r="AU15" s="223"/>
      <c r="AV15" s="224"/>
      <c r="AW15" s="222">
        <v>-425</v>
      </c>
      <c r="AX15" s="223"/>
      <c r="AY15" s="224"/>
      <c r="AZ15" s="222">
        <v>-425</v>
      </c>
      <c r="BA15" s="223"/>
      <c r="BB15" s="224"/>
      <c r="BC15" s="222">
        <v>-525</v>
      </c>
      <c r="BD15" s="223"/>
      <c r="BE15" s="224"/>
      <c r="BF15" s="222">
        <v>-525</v>
      </c>
      <c r="BG15" s="223"/>
      <c r="BH15" s="224"/>
      <c r="BI15" s="222">
        <v>-525</v>
      </c>
      <c r="BJ15" s="223"/>
      <c r="BK15" s="224"/>
      <c r="BL15" s="222">
        <v>-525</v>
      </c>
      <c r="BM15" s="223"/>
      <c r="BN15" s="224"/>
      <c r="BO15" s="222">
        <v>-525</v>
      </c>
      <c r="BP15" s="223"/>
      <c r="BQ15" s="224"/>
      <c r="BR15" s="222">
        <v>-525</v>
      </c>
      <c r="BS15" s="223"/>
      <c r="BT15" s="224"/>
      <c r="BU15" s="303">
        <v>-525</v>
      </c>
      <c r="BV15" s="304"/>
      <c r="BW15" s="305"/>
      <c r="BX15" s="222">
        <v>-525</v>
      </c>
      <c r="BY15" s="223"/>
      <c r="BZ15" s="224"/>
      <c r="CA15" s="222">
        <v>-525</v>
      </c>
      <c r="CB15" s="223"/>
      <c r="CC15" s="224"/>
      <c r="CD15" s="222">
        <v>-525</v>
      </c>
      <c r="CE15" s="223"/>
      <c r="CF15" s="224"/>
      <c r="CG15" s="222">
        <v>-525</v>
      </c>
      <c r="CH15" s="223"/>
      <c r="CI15" s="224"/>
      <c r="CJ15" s="222">
        <v>-525</v>
      </c>
      <c r="CK15" s="223"/>
      <c r="CL15" s="224"/>
      <c r="CM15" s="222">
        <v>-525</v>
      </c>
      <c r="CN15" s="223"/>
      <c r="CO15" s="224"/>
      <c r="CP15" s="222">
        <v>-525</v>
      </c>
      <c r="CQ15" s="223"/>
      <c r="CR15" s="224"/>
      <c r="CS15" s="311">
        <v>-225</v>
      </c>
      <c r="CT15" s="312"/>
      <c r="CU15" s="313"/>
      <c r="CV15" s="311">
        <v>-225</v>
      </c>
      <c r="CW15" s="312"/>
      <c r="CX15" s="313"/>
      <c r="CY15" s="311">
        <v>-225</v>
      </c>
      <c r="CZ15" s="312"/>
      <c r="DA15" s="313"/>
      <c r="DB15" s="311">
        <v>-225</v>
      </c>
      <c r="DC15" s="312"/>
      <c r="DD15" s="313"/>
      <c r="DE15" s="319">
        <v>-490</v>
      </c>
      <c r="DF15" s="320"/>
      <c r="DG15" s="321"/>
      <c r="DH15" s="319">
        <v>-490</v>
      </c>
      <c r="DI15" s="320"/>
      <c r="DJ15" s="321"/>
      <c r="DK15" s="327">
        <v>0</v>
      </c>
      <c r="DL15" s="328"/>
      <c r="DM15" s="329"/>
      <c r="DN15" s="327">
        <v>0</v>
      </c>
      <c r="DO15" s="328"/>
      <c r="DP15" s="329"/>
      <c r="DQ15" s="327">
        <v>0</v>
      </c>
      <c r="DR15" s="328"/>
      <c r="DS15" s="329"/>
      <c r="DT15" s="327">
        <v>0</v>
      </c>
      <c r="DU15" s="328"/>
      <c r="DV15" s="329"/>
      <c r="DW15" s="327">
        <v>0</v>
      </c>
      <c r="DX15" s="328"/>
      <c r="DY15" s="329"/>
      <c r="DZ15" s="327">
        <v>0</v>
      </c>
      <c r="EA15" s="328"/>
      <c r="EB15" s="329"/>
      <c r="EC15" s="335">
        <v>0</v>
      </c>
      <c r="ED15" s="336"/>
      <c r="EE15" s="337"/>
      <c r="EF15" s="335">
        <v>0</v>
      </c>
      <c r="EG15" s="336"/>
      <c r="EH15" s="337"/>
      <c r="EI15" s="335">
        <v>0</v>
      </c>
      <c r="EJ15" s="336"/>
      <c r="EK15" s="337"/>
      <c r="EL15" s="335">
        <v>0</v>
      </c>
      <c r="EM15" s="336"/>
      <c r="EN15" s="337"/>
      <c r="EO15" s="335">
        <v>0</v>
      </c>
      <c r="EP15" s="336"/>
      <c r="EQ15" s="337"/>
      <c r="ER15" s="335">
        <v>0</v>
      </c>
      <c r="ES15" s="336"/>
      <c r="ET15" s="337"/>
      <c r="EU15" s="335">
        <v>0</v>
      </c>
      <c r="EV15" s="336"/>
      <c r="EW15" s="337"/>
    </row>
    <row r="16" spans="10:153" ht="18" customHeight="1">
      <c r="N16" s="264" t="s">
        <v>125</v>
      </c>
      <c r="O16" s="264"/>
      <c r="P16" s="264"/>
      <c r="Q16" s="283" t="s">
        <v>126</v>
      </c>
      <c r="R16" s="284"/>
      <c r="S16" s="285"/>
      <c r="T16" s="107"/>
      <c r="U16" s="69"/>
      <c r="V16" s="179"/>
      <c r="W16" s="179"/>
      <c r="X16" s="179"/>
      <c r="Y16" s="179"/>
      <c r="Z16" s="180"/>
      <c r="AA16" s="289" t="s">
        <v>127</v>
      </c>
      <c r="AB16" s="251"/>
      <c r="AC16" s="276"/>
      <c r="AD16" s="170" t="s">
        <v>7</v>
      </c>
      <c r="AE16" s="233">
        <v>-10420</v>
      </c>
      <c r="AF16" s="234"/>
      <c r="AG16" s="234"/>
      <c r="AH16" s="222">
        <v>-700</v>
      </c>
      <c r="AI16" s="223"/>
      <c r="AJ16" s="224"/>
      <c r="AK16" s="222">
        <v>-700</v>
      </c>
      <c r="AL16" s="223"/>
      <c r="AM16" s="224"/>
      <c r="AN16" s="222">
        <v>-700</v>
      </c>
      <c r="AO16" s="223"/>
      <c r="AP16" s="224"/>
      <c r="AQ16" s="222">
        <v>-700</v>
      </c>
      <c r="AR16" s="223"/>
      <c r="AS16" s="224"/>
      <c r="AT16" s="222">
        <v>-700</v>
      </c>
      <c r="AU16" s="223"/>
      <c r="AV16" s="224"/>
      <c r="AW16" s="222">
        <v>-700</v>
      </c>
      <c r="AX16" s="223"/>
      <c r="AY16" s="224"/>
      <c r="AZ16" s="222">
        <v>-700</v>
      </c>
      <c r="BA16" s="223"/>
      <c r="BB16" s="224"/>
      <c r="BC16" s="222">
        <v>-800</v>
      </c>
      <c r="BD16" s="223"/>
      <c r="BE16" s="224"/>
      <c r="BF16" s="222">
        <v>-800</v>
      </c>
      <c r="BG16" s="223"/>
      <c r="BH16" s="224"/>
      <c r="BI16" s="222">
        <v>-800</v>
      </c>
      <c r="BJ16" s="223"/>
      <c r="BK16" s="224"/>
      <c r="BL16" s="222">
        <v>-800</v>
      </c>
      <c r="BM16" s="223"/>
      <c r="BN16" s="224"/>
      <c r="BO16" s="222">
        <v>-800</v>
      </c>
      <c r="BP16" s="223"/>
      <c r="BQ16" s="224"/>
      <c r="BR16" s="222">
        <v>-800</v>
      </c>
      <c r="BS16" s="223"/>
      <c r="BT16" s="224"/>
      <c r="BU16" s="303">
        <v>-800</v>
      </c>
      <c r="BV16" s="304"/>
      <c r="BW16" s="305"/>
      <c r="BX16" s="222">
        <v>-800</v>
      </c>
      <c r="BY16" s="223"/>
      <c r="BZ16" s="224"/>
      <c r="CA16" s="222">
        <v>-800</v>
      </c>
      <c r="CB16" s="223"/>
      <c r="CC16" s="224"/>
      <c r="CD16" s="222">
        <v>-800</v>
      </c>
      <c r="CE16" s="223"/>
      <c r="CF16" s="224"/>
      <c r="CG16" s="222">
        <v>-800</v>
      </c>
      <c r="CH16" s="223"/>
      <c r="CI16" s="224"/>
      <c r="CJ16" s="222">
        <v>-800</v>
      </c>
      <c r="CK16" s="223"/>
      <c r="CL16" s="224"/>
      <c r="CM16" s="222">
        <v>-800</v>
      </c>
      <c r="CN16" s="223"/>
      <c r="CO16" s="224"/>
      <c r="CP16" s="222">
        <v>-800</v>
      </c>
      <c r="CQ16" s="223"/>
      <c r="CR16" s="224"/>
      <c r="CS16" s="311">
        <v>-25</v>
      </c>
      <c r="CT16" s="312"/>
      <c r="CU16" s="313"/>
      <c r="CV16" s="311">
        <v>-25</v>
      </c>
      <c r="CW16" s="312"/>
      <c r="CX16" s="313"/>
      <c r="CY16" s="311">
        <v>-25</v>
      </c>
      <c r="CZ16" s="312"/>
      <c r="DA16" s="313"/>
      <c r="DB16" s="311">
        <v>-25</v>
      </c>
      <c r="DC16" s="312"/>
      <c r="DD16" s="313"/>
      <c r="DE16" s="319">
        <v>-26</v>
      </c>
      <c r="DF16" s="320"/>
      <c r="DG16" s="321"/>
      <c r="DH16" s="319">
        <v>-26</v>
      </c>
      <c r="DI16" s="320"/>
      <c r="DJ16" s="321"/>
      <c r="DK16" s="327">
        <v>0</v>
      </c>
      <c r="DL16" s="328"/>
      <c r="DM16" s="329"/>
      <c r="DN16" s="327">
        <v>0</v>
      </c>
      <c r="DO16" s="328"/>
      <c r="DP16" s="329"/>
      <c r="DQ16" s="327">
        <v>0</v>
      </c>
      <c r="DR16" s="328"/>
      <c r="DS16" s="329"/>
      <c r="DT16" s="327">
        <v>0</v>
      </c>
      <c r="DU16" s="328"/>
      <c r="DV16" s="329"/>
      <c r="DW16" s="327">
        <v>0</v>
      </c>
      <c r="DX16" s="328"/>
      <c r="DY16" s="329"/>
      <c r="DZ16" s="327">
        <v>0</v>
      </c>
      <c r="EA16" s="328"/>
      <c r="EB16" s="329"/>
      <c r="EC16" s="335">
        <v>-28.5</v>
      </c>
      <c r="ED16" s="336"/>
      <c r="EE16" s="337"/>
      <c r="EF16" s="335">
        <v>-30.5</v>
      </c>
      <c r="EG16" s="336"/>
      <c r="EH16" s="337"/>
      <c r="EI16" s="335">
        <v>-26</v>
      </c>
      <c r="EJ16" s="336"/>
      <c r="EK16" s="337"/>
      <c r="EL16" s="335">
        <v>-26</v>
      </c>
      <c r="EM16" s="336"/>
      <c r="EN16" s="337"/>
      <c r="EO16" s="335">
        <v>-26</v>
      </c>
      <c r="EP16" s="336"/>
      <c r="EQ16" s="337"/>
      <c r="ER16" s="335">
        <v>-26</v>
      </c>
      <c r="ES16" s="336"/>
      <c r="ET16" s="337"/>
      <c r="EU16" s="335">
        <v>-26</v>
      </c>
      <c r="EV16" s="336"/>
      <c r="EW16" s="337"/>
    </row>
    <row r="17" spans="1:153" ht="18" customHeight="1">
      <c r="N17" s="268" t="s">
        <v>172</v>
      </c>
      <c r="O17" s="269"/>
      <c r="P17" s="270"/>
      <c r="Q17" s="286" t="s">
        <v>162</v>
      </c>
      <c r="R17" s="287"/>
      <c r="S17" s="288"/>
      <c r="T17" s="174"/>
      <c r="U17" s="69"/>
      <c r="V17" s="179"/>
      <c r="W17" s="179"/>
      <c r="X17" s="179"/>
      <c r="Y17" s="179"/>
      <c r="Z17" s="180"/>
      <c r="AA17" s="178">
        <v>1</v>
      </c>
      <c r="AB17" s="176">
        <v>1</v>
      </c>
      <c r="AC17" s="276"/>
      <c r="AD17" s="170" t="s">
        <v>8</v>
      </c>
      <c r="AE17" s="233">
        <v>10950</v>
      </c>
      <c r="AF17" s="234"/>
      <c r="AG17" s="234"/>
      <c r="AH17" s="222">
        <v>425</v>
      </c>
      <c r="AI17" s="223"/>
      <c r="AJ17" s="224"/>
      <c r="AK17" s="222">
        <v>425</v>
      </c>
      <c r="AL17" s="223"/>
      <c r="AM17" s="224"/>
      <c r="AN17" s="222">
        <v>425</v>
      </c>
      <c r="AO17" s="223"/>
      <c r="AP17" s="224"/>
      <c r="AQ17" s="222">
        <v>425</v>
      </c>
      <c r="AR17" s="223"/>
      <c r="AS17" s="224"/>
      <c r="AT17" s="222">
        <v>425</v>
      </c>
      <c r="AU17" s="223"/>
      <c r="AV17" s="224"/>
      <c r="AW17" s="222">
        <v>425</v>
      </c>
      <c r="AX17" s="223"/>
      <c r="AY17" s="224"/>
      <c r="AZ17" s="222">
        <v>425</v>
      </c>
      <c r="BA17" s="223"/>
      <c r="BB17" s="224"/>
      <c r="BC17" s="222">
        <v>525</v>
      </c>
      <c r="BD17" s="223"/>
      <c r="BE17" s="224"/>
      <c r="BF17" s="222">
        <v>525</v>
      </c>
      <c r="BG17" s="223"/>
      <c r="BH17" s="224"/>
      <c r="BI17" s="222">
        <v>525</v>
      </c>
      <c r="BJ17" s="223"/>
      <c r="BK17" s="224"/>
      <c r="BL17" s="222">
        <v>525</v>
      </c>
      <c r="BM17" s="223"/>
      <c r="BN17" s="224"/>
      <c r="BO17" s="222">
        <v>525</v>
      </c>
      <c r="BP17" s="223"/>
      <c r="BQ17" s="224"/>
      <c r="BR17" s="222">
        <v>525</v>
      </c>
      <c r="BS17" s="223"/>
      <c r="BT17" s="224"/>
      <c r="BU17" s="303">
        <v>525</v>
      </c>
      <c r="BV17" s="304"/>
      <c r="BW17" s="305"/>
      <c r="BX17" s="222">
        <v>525</v>
      </c>
      <c r="BY17" s="223"/>
      <c r="BZ17" s="224"/>
      <c r="CA17" s="222">
        <v>525</v>
      </c>
      <c r="CB17" s="223"/>
      <c r="CC17" s="224"/>
      <c r="CD17" s="222">
        <v>525</v>
      </c>
      <c r="CE17" s="223"/>
      <c r="CF17" s="224"/>
      <c r="CG17" s="222">
        <v>525</v>
      </c>
      <c r="CH17" s="223"/>
      <c r="CI17" s="224"/>
      <c r="CJ17" s="222">
        <v>525</v>
      </c>
      <c r="CK17" s="223"/>
      <c r="CL17" s="224"/>
      <c r="CM17" s="222">
        <v>525</v>
      </c>
      <c r="CN17" s="223"/>
      <c r="CO17" s="224"/>
      <c r="CP17" s="222">
        <v>525</v>
      </c>
      <c r="CQ17" s="223"/>
      <c r="CR17" s="224"/>
      <c r="CS17" s="311">
        <v>225</v>
      </c>
      <c r="CT17" s="312"/>
      <c r="CU17" s="313"/>
      <c r="CV17" s="311">
        <v>225</v>
      </c>
      <c r="CW17" s="312"/>
      <c r="CX17" s="313"/>
      <c r="CY17" s="311">
        <v>225</v>
      </c>
      <c r="CZ17" s="312"/>
      <c r="DA17" s="313"/>
      <c r="DB17" s="311">
        <v>225</v>
      </c>
      <c r="DC17" s="312"/>
      <c r="DD17" s="313"/>
      <c r="DE17" s="319">
        <v>490</v>
      </c>
      <c r="DF17" s="320"/>
      <c r="DG17" s="321"/>
      <c r="DH17" s="319">
        <v>490</v>
      </c>
      <c r="DI17" s="320"/>
      <c r="DJ17" s="321"/>
      <c r="DK17" s="327">
        <v>12960</v>
      </c>
      <c r="DL17" s="328"/>
      <c r="DM17" s="329"/>
      <c r="DN17" s="327">
        <v>7900</v>
      </c>
      <c r="DO17" s="328"/>
      <c r="DP17" s="329"/>
      <c r="DQ17" s="327">
        <v>3100</v>
      </c>
      <c r="DR17" s="328"/>
      <c r="DS17" s="329"/>
      <c r="DT17" s="327">
        <v>2400</v>
      </c>
      <c r="DU17" s="328"/>
      <c r="DV17" s="329"/>
      <c r="DW17" s="327">
        <v>3100</v>
      </c>
      <c r="DX17" s="328"/>
      <c r="DY17" s="329"/>
      <c r="DZ17" s="327">
        <v>1600</v>
      </c>
      <c r="EA17" s="328"/>
      <c r="EB17" s="329"/>
      <c r="EC17" s="335">
        <v>3100</v>
      </c>
      <c r="ED17" s="336"/>
      <c r="EE17" s="337"/>
      <c r="EF17" s="335">
        <v>3100</v>
      </c>
      <c r="EG17" s="336"/>
      <c r="EH17" s="337"/>
      <c r="EI17" s="335">
        <v>3100</v>
      </c>
      <c r="EJ17" s="336"/>
      <c r="EK17" s="337"/>
      <c r="EL17" s="335">
        <v>3100</v>
      </c>
      <c r="EM17" s="336"/>
      <c r="EN17" s="337"/>
      <c r="EO17" s="335">
        <v>3100</v>
      </c>
      <c r="EP17" s="336"/>
      <c r="EQ17" s="337"/>
      <c r="ER17" s="335">
        <v>3100</v>
      </c>
      <c r="ES17" s="336"/>
      <c r="ET17" s="337"/>
      <c r="EU17" s="335">
        <v>3100</v>
      </c>
      <c r="EV17" s="336"/>
      <c r="EW17" s="337"/>
    </row>
    <row r="18" spans="1:153" ht="18" customHeight="1">
      <c r="N18" s="237" t="s">
        <v>134</v>
      </c>
      <c r="O18" s="238"/>
      <c r="P18" s="239"/>
      <c r="Q18" s="242" t="s">
        <v>133</v>
      </c>
      <c r="R18" s="243"/>
      <c r="S18" s="244"/>
      <c r="T18" s="108"/>
      <c r="U18" s="70"/>
      <c r="V18" s="71"/>
      <c r="W18" s="175"/>
      <c r="X18" s="175"/>
      <c r="Y18" s="175"/>
      <c r="Z18" s="175"/>
      <c r="AA18" s="289" t="s">
        <v>128</v>
      </c>
      <c r="AB18" s="251"/>
      <c r="AC18" s="276"/>
      <c r="AD18" s="170" t="s">
        <v>9</v>
      </c>
      <c r="AE18" s="233">
        <v>10420</v>
      </c>
      <c r="AF18" s="234"/>
      <c r="AG18" s="234"/>
      <c r="AH18" s="222">
        <v>700</v>
      </c>
      <c r="AI18" s="223"/>
      <c r="AJ18" s="224"/>
      <c r="AK18" s="222">
        <v>700</v>
      </c>
      <c r="AL18" s="223"/>
      <c r="AM18" s="224"/>
      <c r="AN18" s="222">
        <v>700</v>
      </c>
      <c r="AO18" s="223"/>
      <c r="AP18" s="224"/>
      <c r="AQ18" s="222">
        <v>700</v>
      </c>
      <c r="AR18" s="223"/>
      <c r="AS18" s="224"/>
      <c r="AT18" s="222">
        <v>700</v>
      </c>
      <c r="AU18" s="223"/>
      <c r="AV18" s="224"/>
      <c r="AW18" s="222">
        <v>700</v>
      </c>
      <c r="AX18" s="223"/>
      <c r="AY18" s="224"/>
      <c r="AZ18" s="222">
        <v>700</v>
      </c>
      <c r="BA18" s="223"/>
      <c r="BB18" s="224"/>
      <c r="BC18" s="222">
        <v>800</v>
      </c>
      <c r="BD18" s="223"/>
      <c r="BE18" s="224"/>
      <c r="BF18" s="222">
        <v>800</v>
      </c>
      <c r="BG18" s="223"/>
      <c r="BH18" s="224"/>
      <c r="BI18" s="222">
        <v>800</v>
      </c>
      <c r="BJ18" s="223"/>
      <c r="BK18" s="224"/>
      <c r="BL18" s="222">
        <v>800</v>
      </c>
      <c r="BM18" s="223"/>
      <c r="BN18" s="224"/>
      <c r="BO18" s="222">
        <v>800</v>
      </c>
      <c r="BP18" s="223"/>
      <c r="BQ18" s="224"/>
      <c r="BR18" s="222">
        <v>800</v>
      </c>
      <c r="BS18" s="223"/>
      <c r="BT18" s="224"/>
      <c r="BU18" s="303">
        <v>800</v>
      </c>
      <c r="BV18" s="304"/>
      <c r="BW18" s="305"/>
      <c r="BX18" s="222">
        <v>800</v>
      </c>
      <c r="BY18" s="223"/>
      <c r="BZ18" s="224"/>
      <c r="CA18" s="222">
        <v>800</v>
      </c>
      <c r="CB18" s="223"/>
      <c r="CC18" s="224"/>
      <c r="CD18" s="222">
        <v>800</v>
      </c>
      <c r="CE18" s="223"/>
      <c r="CF18" s="224"/>
      <c r="CG18" s="222">
        <v>800</v>
      </c>
      <c r="CH18" s="223"/>
      <c r="CI18" s="224"/>
      <c r="CJ18" s="222">
        <v>800</v>
      </c>
      <c r="CK18" s="223"/>
      <c r="CL18" s="224"/>
      <c r="CM18" s="222">
        <v>800</v>
      </c>
      <c r="CN18" s="223"/>
      <c r="CO18" s="224"/>
      <c r="CP18" s="222">
        <v>800</v>
      </c>
      <c r="CQ18" s="223"/>
      <c r="CR18" s="224"/>
      <c r="CS18" s="311">
        <v>25</v>
      </c>
      <c r="CT18" s="312"/>
      <c r="CU18" s="313"/>
      <c r="CV18" s="311">
        <v>25</v>
      </c>
      <c r="CW18" s="312"/>
      <c r="CX18" s="313"/>
      <c r="CY18" s="311">
        <v>25</v>
      </c>
      <c r="CZ18" s="312"/>
      <c r="DA18" s="313"/>
      <c r="DB18" s="311">
        <v>25</v>
      </c>
      <c r="DC18" s="312"/>
      <c r="DD18" s="313"/>
      <c r="DE18" s="319">
        <v>26</v>
      </c>
      <c r="DF18" s="320"/>
      <c r="DG18" s="321"/>
      <c r="DH18" s="319">
        <v>26</v>
      </c>
      <c r="DI18" s="320"/>
      <c r="DJ18" s="321"/>
      <c r="DK18" s="327">
        <v>1800</v>
      </c>
      <c r="DL18" s="328"/>
      <c r="DM18" s="329"/>
      <c r="DN18" s="327">
        <v>1270</v>
      </c>
      <c r="DO18" s="328"/>
      <c r="DP18" s="329"/>
      <c r="DQ18" s="327">
        <v>577</v>
      </c>
      <c r="DR18" s="328"/>
      <c r="DS18" s="329"/>
      <c r="DT18" s="327">
        <v>580</v>
      </c>
      <c r="DU18" s="328"/>
      <c r="DV18" s="329"/>
      <c r="DW18" s="327">
        <v>170</v>
      </c>
      <c r="DX18" s="328"/>
      <c r="DY18" s="329"/>
      <c r="DZ18" s="327">
        <v>415</v>
      </c>
      <c r="EA18" s="328"/>
      <c r="EB18" s="329"/>
      <c r="EC18" s="335">
        <v>28.5</v>
      </c>
      <c r="ED18" s="336"/>
      <c r="EE18" s="337"/>
      <c r="EF18" s="335">
        <v>30.5</v>
      </c>
      <c r="EG18" s="336"/>
      <c r="EH18" s="337"/>
      <c r="EI18" s="335">
        <v>26</v>
      </c>
      <c r="EJ18" s="336"/>
      <c r="EK18" s="337"/>
      <c r="EL18" s="335">
        <v>26</v>
      </c>
      <c r="EM18" s="336"/>
      <c r="EN18" s="337"/>
      <c r="EO18" s="335">
        <v>26</v>
      </c>
      <c r="EP18" s="336"/>
      <c r="EQ18" s="337"/>
      <c r="ER18" s="335">
        <v>26</v>
      </c>
      <c r="ES18" s="336"/>
      <c r="ET18" s="337"/>
      <c r="EU18" s="335">
        <v>26</v>
      </c>
      <c r="EV18" s="336"/>
      <c r="EW18" s="337"/>
    </row>
    <row r="19" spans="1:153" s="58" customFormat="1" ht="18" customHeight="1">
      <c r="N19" s="56">
        <v>60</v>
      </c>
      <c r="O19" s="91">
        <v>60</v>
      </c>
      <c r="P19" s="181"/>
      <c r="Q19" s="248">
        <v>0</v>
      </c>
      <c r="R19" s="249"/>
      <c r="S19" s="91">
        <v>0</v>
      </c>
      <c r="T19" s="91"/>
      <c r="U19" s="70"/>
      <c r="V19" s="183"/>
      <c r="W19" s="183"/>
      <c r="X19" s="183"/>
      <c r="Y19" s="183"/>
      <c r="Z19" s="184"/>
      <c r="AA19" s="182">
        <v>2</v>
      </c>
      <c r="AB19" s="91">
        <v>2</v>
      </c>
      <c r="AC19" s="229" t="s">
        <v>129</v>
      </c>
      <c r="AD19" s="229"/>
      <c r="AE19" s="225">
        <v>1</v>
      </c>
      <c r="AF19" s="221"/>
      <c r="AG19" s="221"/>
      <c r="AH19" s="225">
        <v>1</v>
      </c>
      <c r="AI19" s="221"/>
      <c r="AJ19" s="221"/>
      <c r="AK19" s="225">
        <v>1</v>
      </c>
      <c r="AL19" s="221"/>
      <c r="AM19" s="221"/>
      <c r="AN19" s="225">
        <v>1</v>
      </c>
      <c r="AO19" s="221"/>
      <c r="AP19" s="221"/>
      <c r="AQ19" s="225">
        <v>1</v>
      </c>
      <c r="AR19" s="221"/>
      <c r="AS19" s="221"/>
      <c r="AT19" s="225">
        <v>1</v>
      </c>
      <c r="AU19" s="221"/>
      <c r="AV19" s="221"/>
      <c r="AW19" s="225">
        <v>1</v>
      </c>
      <c r="AX19" s="221"/>
      <c r="AY19" s="221"/>
      <c r="AZ19" s="225">
        <v>1</v>
      </c>
      <c r="BA19" s="221"/>
      <c r="BB19" s="221"/>
      <c r="BC19" s="225">
        <v>1</v>
      </c>
      <c r="BD19" s="221"/>
      <c r="BE19" s="221"/>
      <c r="BF19" s="225">
        <v>1</v>
      </c>
      <c r="BG19" s="221"/>
      <c r="BH19" s="221"/>
      <c r="BI19" s="225">
        <v>1</v>
      </c>
      <c r="BJ19" s="221"/>
      <c r="BK19" s="221"/>
      <c r="BL19" s="225">
        <v>1</v>
      </c>
      <c r="BM19" s="221"/>
      <c r="BN19" s="221"/>
      <c r="BO19" s="225">
        <v>1</v>
      </c>
      <c r="BP19" s="221"/>
      <c r="BQ19" s="221"/>
      <c r="BR19" s="225">
        <v>1</v>
      </c>
      <c r="BS19" s="221"/>
      <c r="BT19" s="221"/>
      <c r="BU19" s="225">
        <v>1</v>
      </c>
      <c r="BV19" s="221"/>
      <c r="BW19" s="221"/>
      <c r="BX19" s="225">
        <v>1</v>
      </c>
      <c r="BY19" s="221"/>
      <c r="BZ19" s="221"/>
      <c r="CA19" s="225">
        <v>1</v>
      </c>
      <c r="CB19" s="221"/>
      <c r="CC19" s="221"/>
      <c r="CD19" s="225">
        <v>1</v>
      </c>
      <c r="CE19" s="221"/>
      <c r="CF19" s="221"/>
      <c r="CG19" s="225">
        <v>1</v>
      </c>
      <c r="CH19" s="221"/>
      <c r="CI19" s="221"/>
      <c r="CJ19" s="225">
        <v>1</v>
      </c>
      <c r="CK19" s="221"/>
      <c r="CL19" s="221"/>
      <c r="CM19" s="225">
        <v>1</v>
      </c>
      <c r="CN19" s="221"/>
      <c r="CO19" s="221"/>
      <c r="CP19" s="225">
        <v>1</v>
      </c>
      <c r="CQ19" s="221"/>
      <c r="CR19" s="221"/>
      <c r="CS19" s="225">
        <v>1</v>
      </c>
      <c r="CT19" s="221"/>
      <c r="CU19" s="221"/>
      <c r="CV19" s="225">
        <v>1</v>
      </c>
      <c r="CW19" s="221"/>
      <c r="CX19" s="221"/>
      <c r="CY19" s="225">
        <v>1</v>
      </c>
      <c r="CZ19" s="221"/>
      <c r="DA19" s="221"/>
      <c r="DB19" s="225">
        <v>1</v>
      </c>
      <c r="DC19" s="221"/>
      <c r="DD19" s="221"/>
      <c r="DE19" s="225">
        <v>1</v>
      </c>
      <c r="DF19" s="221"/>
      <c r="DG19" s="221"/>
      <c r="DH19" s="225">
        <v>1</v>
      </c>
      <c r="DI19" s="221"/>
      <c r="DJ19" s="221"/>
      <c r="DK19" s="225">
        <v>1</v>
      </c>
      <c r="DL19" s="221"/>
      <c r="DM19" s="221"/>
      <c r="DN19" s="225">
        <v>1</v>
      </c>
      <c r="DO19" s="221"/>
      <c r="DP19" s="221"/>
      <c r="DQ19" s="225">
        <v>1</v>
      </c>
      <c r="DR19" s="221"/>
      <c r="DS19" s="221"/>
      <c r="DT19" s="225">
        <v>1</v>
      </c>
      <c r="DU19" s="221"/>
      <c r="DV19" s="221"/>
      <c r="DW19" s="225">
        <v>1</v>
      </c>
      <c r="DX19" s="221"/>
      <c r="DY19" s="221"/>
      <c r="DZ19" s="225">
        <v>1</v>
      </c>
      <c r="EA19" s="221"/>
      <c r="EB19" s="221"/>
      <c r="EC19" s="225">
        <v>1</v>
      </c>
      <c r="ED19" s="221"/>
      <c r="EE19" s="221"/>
      <c r="EF19" s="225">
        <v>1</v>
      </c>
      <c r="EG19" s="221"/>
      <c r="EH19" s="221"/>
      <c r="EI19" s="225">
        <v>1</v>
      </c>
      <c r="EJ19" s="221"/>
      <c r="EK19" s="221"/>
      <c r="EL19" s="225">
        <v>1</v>
      </c>
      <c r="EM19" s="221"/>
      <c r="EN19" s="221"/>
      <c r="EO19" s="225">
        <v>1</v>
      </c>
      <c r="EP19" s="221"/>
      <c r="EQ19" s="221"/>
      <c r="ER19" s="225">
        <v>1</v>
      </c>
      <c r="ES19" s="221"/>
      <c r="ET19" s="221"/>
      <c r="EU19" s="225">
        <v>1</v>
      </c>
      <c r="EV19" s="221"/>
      <c r="EW19" s="221"/>
    </row>
    <row r="20" spans="1:153" ht="18" customHeight="1">
      <c r="Q20" s="228" t="s">
        <v>130</v>
      </c>
      <c r="R20" s="228"/>
      <c r="S20" s="228"/>
      <c r="T20" s="228"/>
      <c r="U20" s="228"/>
      <c r="V20" s="228"/>
      <c r="W20" s="228"/>
      <c r="X20" s="228"/>
      <c r="Y20" s="228" t="s">
        <v>58</v>
      </c>
      <c r="Z20" s="228"/>
      <c r="AA20" s="228" t="s">
        <v>58</v>
      </c>
      <c r="AB20" s="228"/>
      <c r="AC20" s="229" t="s">
        <v>131</v>
      </c>
      <c r="AD20" s="229"/>
      <c r="AE20" s="233" t="s">
        <v>175</v>
      </c>
      <c r="AF20" s="299"/>
      <c r="AG20" s="299"/>
      <c r="AH20" s="211" t="s">
        <v>175</v>
      </c>
      <c r="AI20" s="221"/>
      <c r="AJ20" s="212"/>
      <c r="AK20" s="211" t="s">
        <v>175</v>
      </c>
      <c r="AL20" s="221"/>
      <c r="AM20" s="212"/>
      <c r="AN20" s="211" t="s">
        <v>175</v>
      </c>
      <c r="AO20" s="221"/>
      <c r="AP20" s="212"/>
      <c r="AQ20" s="211" t="s">
        <v>175</v>
      </c>
      <c r="AR20" s="221"/>
      <c r="AS20" s="212"/>
      <c r="AT20" s="211" t="s">
        <v>175</v>
      </c>
      <c r="AU20" s="221"/>
      <c r="AV20" s="212"/>
      <c r="AW20" s="211" t="s">
        <v>175</v>
      </c>
      <c r="AX20" s="221"/>
      <c r="AY20" s="212"/>
      <c r="AZ20" s="211" t="s">
        <v>175</v>
      </c>
      <c r="BA20" s="221"/>
      <c r="BB20" s="212"/>
      <c r="BC20" s="211" t="s">
        <v>175</v>
      </c>
      <c r="BD20" s="221"/>
      <c r="BE20" s="212"/>
      <c r="BF20" s="211" t="s">
        <v>175</v>
      </c>
      <c r="BG20" s="221"/>
      <c r="BH20" s="212"/>
      <c r="BI20" s="211" t="s">
        <v>175</v>
      </c>
      <c r="BJ20" s="221"/>
      <c r="BK20" s="212"/>
      <c r="BL20" s="211" t="s">
        <v>175</v>
      </c>
      <c r="BM20" s="221"/>
      <c r="BN20" s="212"/>
      <c r="BO20" s="211" t="s">
        <v>175</v>
      </c>
      <c r="BP20" s="221"/>
      <c r="BQ20" s="212"/>
      <c r="BR20" s="211" t="s">
        <v>175</v>
      </c>
      <c r="BS20" s="221"/>
      <c r="BT20" s="212"/>
      <c r="BU20" s="211" t="s">
        <v>175</v>
      </c>
      <c r="BV20" s="221"/>
      <c r="BW20" s="212"/>
      <c r="BX20" s="211" t="s">
        <v>175</v>
      </c>
      <c r="BY20" s="221"/>
      <c r="BZ20" s="212"/>
      <c r="CA20" s="211" t="s">
        <v>175</v>
      </c>
      <c r="CB20" s="221"/>
      <c r="CC20" s="212"/>
      <c r="CD20" s="211" t="s">
        <v>175</v>
      </c>
      <c r="CE20" s="221"/>
      <c r="CF20" s="212"/>
      <c r="CG20" s="211" t="s">
        <v>175</v>
      </c>
      <c r="CH20" s="221"/>
      <c r="CI20" s="212"/>
      <c r="CJ20" s="211" t="s">
        <v>175</v>
      </c>
      <c r="CK20" s="221"/>
      <c r="CL20" s="212"/>
      <c r="CM20" s="211" t="s">
        <v>175</v>
      </c>
      <c r="CN20" s="221"/>
      <c r="CO20" s="212"/>
      <c r="CP20" s="211" t="s">
        <v>175</v>
      </c>
      <c r="CQ20" s="221"/>
      <c r="CR20" s="212"/>
      <c r="CS20" s="211" t="s">
        <v>175</v>
      </c>
      <c r="CT20" s="221"/>
      <c r="CU20" s="212"/>
      <c r="CV20" s="211" t="s">
        <v>175</v>
      </c>
      <c r="CW20" s="221"/>
      <c r="CX20" s="212"/>
      <c r="CY20" s="211" t="s">
        <v>175</v>
      </c>
      <c r="CZ20" s="221"/>
      <c r="DA20" s="212"/>
      <c r="DB20" s="211" t="s">
        <v>175</v>
      </c>
      <c r="DC20" s="221"/>
      <c r="DD20" s="212"/>
      <c r="DE20" s="211" t="s">
        <v>189</v>
      </c>
      <c r="DF20" s="221"/>
      <c r="DG20" s="212"/>
      <c r="DH20" s="211" t="s">
        <v>175</v>
      </c>
      <c r="DI20" s="221"/>
      <c r="DJ20" s="212"/>
      <c r="DK20" s="211" t="s">
        <v>175</v>
      </c>
      <c r="DL20" s="221"/>
      <c r="DM20" s="212"/>
      <c r="DN20" s="211" t="s">
        <v>175</v>
      </c>
      <c r="DO20" s="221"/>
      <c r="DP20" s="212"/>
      <c r="DQ20" s="211" t="s">
        <v>175</v>
      </c>
      <c r="DR20" s="221"/>
      <c r="DS20" s="212"/>
      <c r="DT20" s="211" t="s">
        <v>175</v>
      </c>
      <c r="DU20" s="221"/>
      <c r="DV20" s="212"/>
      <c r="DW20" s="211" t="s">
        <v>175</v>
      </c>
      <c r="DX20" s="221"/>
      <c r="DY20" s="212"/>
      <c r="DZ20" s="211" t="s">
        <v>175</v>
      </c>
      <c r="EA20" s="221"/>
      <c r="EB20" s="212"/>
      <c r="EC20" s="211" t="s">
        <v>175</v>
      </c>
      <c r="ED20" s="221"/>
      <c r="EE20" s="212"/>
      <c r="EF20" s="211" t="s">
        <v>175</v>
      </c>
      <c r="EG20" s="221"/>
      <c r="EH20" s="212"/>
      <c r="EI20" s="211" t="s">
        <v>175</v>
      </c>
      <c r="EJ20" s="221"/>
      <c r="EK20" s="212"/>
      <c r="EL20" s="211" t="s">
        <v>175</v>
      </c>
      <c r="EM20" s="221"/>
      <c r="EN20" s="212"/>
      <c r="EO20" s="211" t="s">
        <v>175</v>
      </c>
      <c r="EP20" s="221"/>
      <c r="EQ20" s="212"/>
      <c r="ER20" s="211" t="s">
        <v>175</v>
      </c>
      <c r="ES20" s="221"/>
      <c r="ET20" s="212"/>
      <c r="EU20" s="211" t="s">
        <v>175</v>
      </c>
      <c r="EV20" s="221"/>
      <c r="EW20" s="212"/>
    </row>
    <row r="21" spans="1:153" ht="18" customHeight="1">
      <c r="N21" s="11"/>
      <c r="Q21" s="245" t="s">
        <v>163</v>
      </c>
      <c r="R21" s="246"/>
      <c r="S21" s="246"/>
      <c r="T21" s="247"/>
      <c r="U21" s="70"/>
      <c r="V21" s="171"/>
      <c r="W21" s="171"/>
      <c r="X21" s="171"/>
      <c r="Y21" s="171"/>
      <c r="Z21" s="172"/>
      <c r="AA21" s="126" t="s">
        <v>163</v>
      </c>
      <c r="AB21" s="127" t="s">
        <v>163</v>
      </c>
      <c r="AC21" s="229" t="s">
        <v>132</v>
      </c>
      <c r="AD21" s="170" t="s">
        <v>2</v>
      </c>
      <c r="AE21" s="233">
        <v>1</v>
      </c>
      <c r="AF21" s="299"/>
      <c r="AG21" s="299"/>
      <c r="AH21" s="218">
        <v>24</v>
      </c>
      <c r="AI21" s="219"/>
      <c r="AJ21" s="220"/>
      <c r="AK21" s="218">
        <v>6</v>
      </c>
      <c r="AL21" s="219"/>
      <c r="AM21" s="220"/>
      <c r="AN21" s="218">
        <v>6</v>
      </c>
      <c r="AO21" s="219"/>
      <c r="AP21" s="220"/>
      <c r="AQ21" s="218">
        <v>8</v>
      </c>
      <c r="AR21" s="219"/>
      <c r="AS21" s="220"/>
      <c r="AT21" s="218">
        <v>8</v>
      </c>
      <c r="AU21" s="219"/>
      <c r="AV21" s="220"/>
      <c r="AW21" s="218">
        <v>8</v>
      </c>
      <c r="AX21" s="219"/>
      <c r="AY21" s="220"/>
      <c r="AZ21" s="218">
        <v>24</v>
      </c>
      <c r="BA21" s="219"/>
      <c r="BB21" s="220"/>
      <c r="BC21" s="218">
        <v>10</v>
      </c>
      <c r="BD21" s="219"/>
      <c r="BE21" s="220"/>
      <c r="BF21" s="218">
        <v>10</v>
      </c>
      <c r="BG21" s="219"/>
      <c r="BH21" s="220"/>
      <c r="BI21" s="218">
        <v>3</v>
      </c>
      <c r="BJ21" s="219"/>
      <c r="BK21" s="220"/>
      <c r="BL21" s="218">
        <v>3</v>
      </c>
      <c r="BM21" s="219"/>
      <c r="BN21" s="220"/>
      <c r="BO21" s="218">
        <v>3</v>
      </c>
      <c r="BP21" s="219"/>
      <c r="BQ21" s="220"/>
      <c r="BR21" s="218">
        <v>6</v>
      </c>
      <c r="BS21" s="219"/>
      <c r="BT21" s="220"/>
      <c r="BU21" s="218">
        <v>2</v>
      </c>
      <c r="BV21" s="219"/>
      <c r="BW21" s="220"/>
      <c r="BX21" s="218">
        <v>4</v>
      </c>
      <c r="BY21" s="219"/>
      <c r="BZ21" s="220"/>
      <c r="CA21" s="218">
        <v>17</v>
      </c>
      <c r="CB21" s="219"/>
      <c r="CC21" s="220"/>
      <c r="CD21" s="218">
        <v>2</v>
      </c>
      <c r="CE21" s="219"/>
      <c r="CF21" s="220"/>
      <c r="CG21" s="218">
        <v>3</v>
      </c>
      <c r="CH21" s="219"/>
      <c r="CI21" s="220"/>
      <c r="CJ21" s="218">
        <v>10</v>
      </c>
      <c r="CK21" s="219"/>
      <c r="CL21" s="220"/>
      <c r="CM21" s="218">
        <v>10</v>
      </c>
      <c r="CN21" s="219"/>
      <c r="CO21" s="220"/>
      <c r="CP21" s="218">
        <v>10</v>
      </c>
      <c r="CQ21" s="219"/>
      <c r="CR21" s="220"/>
      <c r="CS21" s="218">
        <v>1</v>
      </c>
      <c r="CT21" s="219"/>
      <c r="CU21" s="220"/>
      <c r="CV21" s="218">
        <v>1</v>
      </c>
      <c r="CW21" s="219"/>
      <c r="CX21" s="220"/>
      <c r="CY21" s="218">
        <v>1</v>
      </c>
      <c r="CZ21" s="219"/>
      <c r="DA21" s="220"/>
      <c r="DB21" s="218">
        <v>1</v>
      </c>
      <c r="DC21" s="219"/>
      <c r="DD21" s="220"/>
      <c r="DE21" s="218">
        <v>1</v>
      </c>
      <c r="DF21" s="219"/>
      <c r="DG21" s="220"/>
      <c r="DH21" s="218">
        <v>1</v>
      </c>
      <c r="DI21" s="219"/>
      <c r="DJ21" s="220"/>
      <c r="DK21" s="218">
        <v>1</v>
      </c>
      <c r="DL21" s="219"/>
      <c r="DM21" s="220"/>
      <c r="DN21" s="218">
        <v>1</v>
      </c>
      <c r="DO21" s="219"/>
      <c r="DP21" s="220"/>
      <c r="DQ21" s="218">
        <v>1</v>
      </c>
      <c r="DR21" s="219"/>
      <c r="DS21" s="220"/>
      <c r="DT21" s="218">
        <v>1</v>
      </c>
      <c r="DU21" s="219"/>
      <c r="DV21" s="220"/>
      <c r="DW21" s="218">
        <v>1</v>
      </c>
      <c r="DX21" s="219"/>
      <c r="DY21" s="220"/>
      <c r="DZ21" s="218">
        <v>1</v>
      </c>
      <c r="EA21" s="219"/>
      <c r="EB21" s="220"/>
      <c r="EC21" s="218">
        <v>1</v>
      </c>
      <c r="ED21" s="219"/>
      <c r="EE21" s="220"/>
      <c r="EF21" s="218">
        <v>1</v>
      </c>
      <c r="EG21" s="219"/>
      <c r="EH21" s="220"/>
      <c r="EI21" s="218">
        <v>1</v>
      </c>
      <c r="EJ21" s="219"/>
      <c r="EK21" s="220"/>
      <c r="EL21" s="218">
        <v>1</v>
      </c>
      <c r="EM21" s="219"/>
      <c r="EN21" s="220"/>
      <c r="EO21" s="218">
        <v>1</v>
      </c>
      <c r="EP21" s="219"/>
      <c r="EQ21" s="220"/>
      <c r="ER21" s="218">
        <v>1</v>
      </c>
      <c r="ES21" s="219"/>
      <c r="ET21" s="220"/>
      <c r="EU21" s="218">
        <v>1</v>
      </c>
      <c r="EV21" s="219"/>
      <c r="EW21" s="220"/>
    </row>
    <row r="22" spans="1:153" ht="18" customHeight="1">
      <c r="AC22" s="229"/>
      <c r="AD22" s="170" t="s">
        <v>16</v>
      </c>
      <c r="AE22" s="233">
        <v>1</v>
      </c>
      <c r="AF22" s="233"/>
      <c r="AG22" s="233"/>
      <c r="AH22" s="218">
        <v>1</v>
      </c>
      <c r="AI22" s="219"/>
      <c r="AJ22" s="220"/>
      <c r="AK22" s="218">
        <v>1</v>
      </c>
      <c r="AL22" s="219"/>
      <c r="AM22" s="220"/>
      <c r="AN22" s="218">
        <v>1</v>
      </c>
      <c r="AO22" s="219"/>
      <c r="AP22" s="220"/>
      <c r="AQ22" s="218">
        <v>1</v>
      </c>
      <c r="AR22" s="219"/>
      <c r="AS22" s="220"/>
      <c r="AT22" s="218">
        <v>1</v>
      </c>
      <c r="AU22" s="219"/>
      <c r="AV22" s="220"/>
      <c r="AW22" s="218">
        <v>1</v>
      </c>
      <c r="AX22" s="219"/>
      <c r="AY22" s="220"/>
      <c r="AZ22" s="218">
        <v>1</v>
      </c>
      <c r="BA22" s="219"/>
      <c r="BB22" s="220"/>
      <c r="BC22" s="218">
        <v>1</v>
      </c>
      <c r="BD22" s="219"/>
      <c r="BE22" s="220"/>
      <c r="BF22" s="218">
        <v>2</v>
      </c>
      <c r="BG22" s="219"/>
      <c r="BH22" s="220"/>
      <c r="BI22" s="218">
        <v>4</v>
      </c>
      <c r="BJ22" s="219"/>
      <c r="BK22" s="220"/>
      <c r="BL22" s="218">
        <v>4</v>
      </c>
      <c r="BM22" s="219"/>
      <c r="BN22" s="220"/>
      <c r="BO22" s="218">
        <v>4</v>
      </c>
      <c r="BP22" s="219"/>
      <c r="BQ22" s="220"/>
      <c r="BR22" s="218">
        <v>1</v>
      </c>
      <c r="BS22" s="219"/>
      <c r="BT22" s="220"/>
      <c r="BU22" s="218">
        <v>1</v>
      </c>
      <c r="BV22" s="219"/>
      <c r="BW22" s="220"/>
      <c r="BX22" s="218">
        <v>2</v>
      </c>
      <c r="BY22" s="219"/>
      <c r="BZ22" s="220"/>
      <c r="CA22" s="218">
        <v>1</v>
      </c>
      <c r="CB22" s="219"/>
      <c r="CC22" s="220"/>
      <c r="CD22" s="218">
        <v>3</v>
      </c>
      <c r="CE22" s="219"/>
      <c r="CF22" s="220"/>
      <c r="CG22" s="218">
        <v>2</v>
      </c>
      <c r="CH22" s="219"/>
      <c r="CI22" s="220"/>
      <c r="CJ22" s="218">
        <v>1</v>
      </c>
      <c r="CK22" s="219"/>
      <c r="CL22" s="220"/>
      <c r="CM22" s="218">
        <v>1</v>
      </c>
      <c r="CN22" s="219"/>
      <c r="CO22" s="220"/>
      <c r="CP22" s="218">
        <v>1</v>
      </c>
      <c r="CQ22" s="219"/>
      <c r="CR22" s="220"/>
      <c r="CS22" s="218">
        <v>1</v>
      </c>
      <c r="CT22" s="219"/>
      <c r="CU22" s="220"/>
      <c r="CV22" s="218">
        <v>1</v>
      </c>
      <c r="CW22" s="219"/>
      <c r="CX22" s="220"/>
      <c r="CY22" s="218">
        <v>1</v>
      </c>
      <c r="CZ22" s="219"/>
      <c r="DA22" s="220"/>
      <c r="DB22" s="218">
        <v>1</v>
      </c>
      <c r="DC22" s="219"/>
      <c r="DD22" s="220"/>
      <c r="DE22" s="218">
        <v>1</v>
      </c>
      <c r="DF22" s="219"/>
      <c r="DG22" s="220"/>
      <c r="DH22" s="218">
        <v>1</v>
      </c>
      <c r="DI22" s="219"/>
      <c r="DJ22" s="220"/>
      <c r="DK22" s="218">
        <v>1</v>
      </c>
      <c r="DL22" s="219"/>
      <c r="DM22" s="220"/>
      <c r="DN22" s="218">
        <v>1</v>
      </c>
      <c r="DO22" s="219"/>
      <c r="DP22" s="220"/>
      <c r="DQ22" s="218">
        <v>1</v>
      </c>
      <c r="DR22" s="219"/>
      <c r="DS22" s="220"/>
      <c r="DT22" s="218">
        <v>1</v>
      </c>
      <c r="DU22" s="219"/>
      <c r="DV22" s="220"/>
      <c r="DW22" s="218">
        <v>1</v>
      </c>
      <c r="DX22" s="219"/>
      <c r="DY22" s="220"/>
      <c r="DZ22" s="218">
        <v>1</v>
      </c>
      <c r="EA22" s="219"/>
      <c r="EB22" s="220"/>
      <c r="EC22" s="218">
        <v>1</v>
      </c>
      <c r="ED22" s="219"/>
      <c r="EE22" s="220"/>
      <c r="EF22" s="218">
        <v>1</v>
      </c>
      <c r="EG22" s="219"/>
      <c r="EH22" s="220"/>
      <c r="EI22" s="218">
        <v>1</v>
      </c>
      <c r="EJ22" s="219"/>
      <c r="EK22" s="220"/>
      <c r="EL22" s="218">
        <v>1</v>
      </c>
      <c r="EM22" s="219"/>
      <c r="EN22" s="220"/>
      <c r="EO22" s="218">
        <v>1</v>
      </c>
      <c r="EP22" s="219"/>
      <c r="EQ22" s="220"/>
      <c r="ER22" s="218">
        <v>1</v>
      </c>
      <c r="ES22" s="219"/>
      <c r="ET22" s="220"/>
      <c r="EU22" s="218">
        <v>1</v>
      </c>
      <c r="EV22" s="219"/>
      <c r="EW22" s="220"/>
    </row>
    <row r="23" spans="1:153" ht="18" customHeight="1">
      <c r="K23" s="58"/>
      <c r="AC23" s="275" t="s">
        <v>53</v>
      </c>
      <c r="AD23" s="162" t="s">
        <v>17</v>
      </c>
      <c r="AE23" s="230">
        <v>0</v>
      </c>
      <c r="AF23" s="231"/>
      <c r="AG23" s="231"/>
      <c r="AH23" s="211">
        <v>-10465</v>
      </c>
      <c r="AI23" s="211"/>
      <c r="AJ23" s="212"/>
      <c r="AK23" s="211">
        <v>-5005</v>
      </c>
      <c r="AL23" s="211"/>
      <c r="AM23" s="212"/>
      <c r="AN23" s="211">
        <v>455</v>
      </c>
      <c r="AO23" s="211"/>
      <c r="AP23" s="212"/>
      <c r="AQ23" s="211">
        <v>-10465</v>
      </c>
      <c r="AR23" s="211"/>
      <c r="AS23" s="212"/>
      <c r="AT23" s="211">
        <v>-3185</v>
      </c>
      <c r="AU23" s="211"/>
      <c r="AV23" s="212"/>
      <c r="AW23" s="211">
        <v>4095</v>
      </c>
      <c r="AX23" s="211"/>
      <c r="AY23" s="212"/>
      <c r="AZ23" s="211">
        <v>-10465</v>
      </c>
      <c r="BA23" s="211"/>
      <c r="BB23" s="212"/>
      <c r="BC23" s="211">
        <v>-9990</v>
      </c>
      <c r="BD23" s="211"/>
      <c r="BE23" s="212"/>
      <c r="BF23" s="211">
        <v>-9990</v>
      </c>
      <c r="BG23" s="211"/>
      <c r="BH23" s="212"/>
      <c r="BI23" s="211">
        <v>1110</v>
      </c>
      <c r="BJ23" s="211"/>
      <c r="BK23" s="212"/>
      <c r="BL23" s="211">
        <v>4440</v>
      </c>
      <c r="BM23" s="211"/>
      <c r="BN23" s="212"/>
      <c r="BO23" s="211">
        <v>7770</v>
      </c>
      <c r="BP23" s="211"/>
      <c r="BQ23" s="212"/>
      <c r="BR23" s="211">
        <v>4440</v>
      </c>
      <c r="BS23" s="211"/>
      <c r="BT23" s="212"/>
      <c r="BU23" s="211">
        <v>4440</v>
      </c>
      <c r="BV23" s="211"/>
      <c r="BW23" s="212"/>
      <c r="BX23" s="211">
        <v>4440</v>
      </c>
      <c r="BY23" s="211"/>
      <c r="BZ23" s="212"/>
      <c r="CA23" s="211">
        <v>-9990</v>
      </c>
      <c r="CB23" s="211"/>
      <c r="CC23" s="212"/>
      <c r="CD23" s="211">
        <v>8880</v>
      </c>
      <c r="CE23" s="211"/>
      <c r="CF23" s="212"/>
      <c r="CG23" s="211">
        <v>1110</v>
      </c>
      <c r="CH23" s="211"/>
      <c r="CI23" s="212"/>
      <c r="CJ23" s="211">
        <v>-9990</v>
      </c>
      <c r="CK23" s="211"/>
      <c r="CL23" s="212"/>
      <c r="CM23" s="211">
        <v>-9990</v>
      </c>
      <c r="CN23" s="211"/>
      <c r="CO23" s="212"/>
      <c r="CP23" s="211">
        <v>-9990</v>
      </c>
      <c r="CQ23" s="211"/>
      <c r="CR23" s="212"/>
      <c r="CS23" s="211">
        <v>7067</v>
      </c>
      <c r="CT23" s="211"/>
      <c r="CU23" s="212"/>
      <c r="CV23" s="211">
        <v>-7059</v>
      </c>
      <c r="CW23" s="211"/>
      <c r="CX23" s="212"/>
      <c r="CY23" s="211">
        <v>-6839</v>
      </c>
      <c r="CZ23" s="211"/>
      <c r="DA23" s="212"/>
      <c r="DB23" s="211">
        <v>7067</v>
      </c>
      <c r="DC23" s="211"/>
      <c r="DD23" s="212"/>
      <c r="DE23" s="211">
        <v>-1634</v>
      </c>
      <c r="DF23" s="211"/>
      <c r="DG23" s="212"/>
      <c r="DH23" s="211">
        <v>1698</v>
      </c>
      <c r="DI23" s="211"/>
      <c r="DJ23" s="212"/>
      <c r="DK23" s="211">
        <v>-4178</v>
      </c>
      <c r="DL23" s="211"/>
      <c r="DM23" s="212"/>
      <c r="DN23" s="211">
        <v>-6708</v>
      </c>
      <c r="DO23" s="211"/>
      <c r="DP23" s="212"/>
      <c r="DQ23" s="211">
        <v>-9274</v>
      </c>
      <c r="DR23" s="211"/>
      <c r="DS23" s="212"/>
      <c r="DT23" s="211">
        <v>-9340</v>
      </c>
      <c r="DU23" s="211"/>
      <c r="DV23" s="212"/>
      <c r="DW23" s="211">
        <v>7040</v>
      </c>
      <c r="DX23" s="211"/>
      <c r="DY23" s="212"/>
      <c r="DZ23" s="211">
        <v>-7332</v>
      </c>
      <c r="EA23" s="211"/>
      <c r="EB23" s="212"/>
      <c r="EC23" s="211">
        <v>7040</v>
      </c>
      <c r="ED23" s="211"/>
      <c r="EE23" s="212"/>
      <c r="EF23" s="211">
        <v>7040</v>
      </c>
      <c r="EG23" s="211"/>
      <c r="EH23" s="212"/>
      <c r="EI23" s="211">
        <v>7040</v>
      </c>
      <c r="EJ23" s="211"/>
      <c r="EK23" s="212"/>
      <c r="EL23" s="211">
        <v>7040</v>
      </c>
      <c r="EM23" s="211"/>
      <c r="EN23" s="212"/>
      <c r="EO23" s="211">
        <v>-9340</v>
      </c>
      <c r="EP23" s="211"/>
      <c r="EQ23" s="212"/>
      <c r="ER23" s="211">
        <v>-50</v>
      </c>
      <c r="ES23" s="211"/>
      <c r="ET23" s="212"/>
      <c r="EU23" s="211">
        <v>-50</v>
      </c>
      <c r="EV23" s="211"/>
      <c r="EW23" s="212"/>
    </row>
    <row r="24" spans="1:153" ht="18" customHeight="1">
      <c r="K24" s="58"/>
      <c r="AC24" s="275"/>
      <c r="AD24" s="162" t="s">
        <v>16</v>
      </c>
      <c r="AE24" s="230">
        <v>0</v>
      </c>
      <c r="AF24" s="231"/>
      <c r="AG24" s="231"/>
      <c r="AH24" s="211">
        <v>8200</v>
      </c>
      <c r="AI24" s="211"/>
      <c r="AJ24" s="212"/>
      <c r="AK24" s="211">
        <v>9660</v>
      </c>
      <c r="AL24" s="211"/>
      <c r="AM24" s="212"/>
      <c r="AN24" s="211">
        <v>9660</v>
      </c>
      <c r="AO24" s="211"/>
      <c r="AP24" s="212"/>
      <c r="AQ24" s="211">
        <v>6740</v>
      </c>
      <c r="AR24" s="211"/>
      <c r="AS24" s="212"/>
      <c r="AT24" s="211">
        <v>6740</v>
      </c>
      <c r="AU24" s="211"/>
      <c r="AV24" s="212"/>
      <c r="AW24" s="211">
        <v>6740</v>
      </c>
      <c r="AX24" s="211"/>
      <c r="AY24" s="212"/>
      <c r="AZ24" s="211">
        <v>5280</v>
      </c>
      <c r="BA24" s="211"/>
      <c r="BB24" s="212"/>
      <c r="BC24" s="211">
        <v>3720</v>
      </c>
      <c r="BD24" s="211"/>
      <c r="BE24" s="212"/>
      <c r="BF24" s="211">
        <v>400</v>
      </c>
      <c r="BG24" s="211"/>
      <c r="BH24" s="212"/>
      <c r="BI24" s="211">
        <v>-1260</v>
      </c>
      <c r="BJ24" s="211"/>
      <c r="BK24" s="212"/>
      <c r="BL24" s="211">
        <v>-1260</v>
      </c>
      <c r="BM24" s="211"/>
      <c r="BN24" s="212"/>
      <c r="BO24" s="211">
        <v>-1260</v>
      </c>
      <c r="BP24" s="211"/>
      <c r="BQ24" s="212"/>
      <c r="BR24" s="211">
        <v>-7900</v>
      </c>
      <c r="BS24" s="211"/>
      <c r="BT24" s="212"/>
      <c r="BU24" s="211">
        <v>-9560</v>
      </c>
      <c r="BV24" s="211"/>
      <c r="BW24" s="212"/>
      <c r="BX24" s="211">
        <v>-6240</v>
      </c>
      <c r="BY24" s="211"/>
      <c r="BZ24" s="212"/>
      <c r="CA24" s="211">
        <v>-2920</v>
      </c>
      <c r="CB24" s="211"/>
      <c r="CC24" s="212"/>
      <c r="CD24" s="211">
        <v>-6240</v>
      </c>
      <c r="CE24" s="211"/>
      <c r="CF24" s="212"/>
      <c r="CG24" s="211">
        <v>-6240</v>
      </c>
      <c r="CH24" s="211"/>
      <c r="CI24" s="212"/>
      <c r="CJ24" s="211">
        <v>-1260</v>
      </c>
      <c r="CK24" s="211"/>
      <c r="CL24" s="212"/>
      <c r="CM24" s="211">
        <v>-4580</v>
      </c>
      <c r="CN24" s="211"/>
      <c r="CO24" s="212"/>
      <c r="CP24" s="211">
        <v>-6240</v>
      </c>
      <c r="CQ24" s="211"/>
      <c r="CR24" s="212"/>
      <c r="CS24" s="211">
        <v>-10327</v>
      </c>
      <c r="CT24" s="211"/>
      <c r="CU24" s="212"/>
      <c r="CV24" s="211">
        <v>10327</v>
      </c>
      <c r="CW24" s="211"/>
      <c r="CX24" s="212"/>
      <c r="CY24" s="211">
        <v>-10327</v>
      </c>
      <c r="CZ24" s="211"/>
      <c r="DA24" s="212"/>
      <c r="DB24" s="211">
        <v>10327</v>
      </c>
      <c r="DC24" s="211"/>
      <c r="DD24" s="212"/>
      <c r="DE24" s="211">
        <v>-7662</v>
      </c>
      <c r="DF24" s="211"/>
      <c r="DG24" s="212"/>
      <c r="DH24" s="211">
        <v>-7134</v>
      </c>
      <c r="DI24" s="211"/>
      <c r="DJ24" s="212"/>
      <c r="DK24" s="211">
        <v>-9278</v>
      </c>
      <c r="DL24" s="211"/>
      <c r="DM24" s="212"/>
      <c r="DN24" s="211">
        <v>-7735</v>
      </c>
      <c r="DO24" s="211"/>
      <c r="DP24" s="212"/>
      <c r="DQ24" s="211">
        <v>9947.5</v>
      </c>
      <c r="DR24" s="211"/>
      <c r="DS24" s="212"/>
      <c r="DT24" s="211">
        <v>9361</v>
      </c>
      <c r="DU24" s="211"/>
      <c r="DV24" s="212"/>
      <c r="DW24" s="211">
        <v>9361</v>
      </c>
      <c r="DX24" s="211"/>
      <c r="DY24" s="212"/>
      <c r="DZ24" s="211">
        <v>9268.5</v>
      </c>
      <c r="EA24" s="211"/>
      <c r="EB24" s="212"/>
      <c r="EC24" s="211">
        <v>9239.5</v>
      </c>
      <c r="ED24" s="211"/>
      <c r="EE24" s="212"/>
      <c r="EF24" s="211">
        <v>9172.5</v>
      </c>
      <c r="EG24" s="211"/>
      <c r="EH24" s="212"/>
      <c r="EI24" s="211">
        <v>9108</v>
      </c>
      <c r="EJ24" s="211"/>
      <c r="EK24" s="212"/>
      <c r="EL24" s="211">
        <v>9048</v>
      </c>
      <c r="EM24" s="211"/>
      <c r="EN24" s="212"/>
      <c r="EO24" s="211">
        <v>9010</v>
      </c>
      <c r="EP24" s="211"/>
      <c r="EQ24" s="212"/>
      <c r="ER24" s="211">
        <v>-7394</v>
      </c>
      <c r="ES24" s="211"/>
      <c r="ET24" s="212"/>
      <c r="EU24" s="211">
        <v>-7454</v>
      </c>
      <c r="EV24" s="211"/>
      <c r="EW24" s="212"/>
    </row>
    <row r="25" spans="1:153" ht="18" customHeight="1">
      <c r="K25" s="58"/>
      <c r="AA25" s="122"/>
      <c r="AC25" s="229" t="s">
        <v>18</v>
      </c>
      <c r="AD25" s="162" t="s">
        <v>17</v>
      </c>
      <c r="AE25" s="233">
        <v>21840</v>
      </c>
      <c r="AF25" s="234"/>
      <c r="AG25" s="234"/>
      <c r="AH25" s="211">
        <v>910</v>
      </c>
      <c r="AI25" s="211"/>
      <c r="AJ25" s="212"/>
      <c r="AK25" s="211">
        <v>910</v>
      </c>
      <c r="AL25" s="211"/>
      <c r="AM25" s="212"/>
      <c r="AN25" s="211">
        <v>910</v>
      </c>
      <c r="AO25" s="211"/>
      <c r="AP25" s="212"/>
      <c r="AQ25" s="211">
        <v>910</v>
      </c>
      <c r="AR25" s="211"/>
      <c r="AS25" s="212"/>
      <c r="AT25" s="211">
        <v>910</v>
      </c>
      <c r="AU25" s="211"/>
      <c r="AV25" s="212"/>
      <c r="AW25" s="211">
        <v>910</v>
      </c>
      <c r="AX25" s="211"/>
      <c r="AY25" s="212"/>
      <c r="AZ25" s="211">
        <v>910</v>
      </c>
      <c r="BA25" s="211"/>
      <c r="BB25" s="212"/>
      <c r="BC25" s="211">
        <v>1110</v>
      </c>
      <c r="BD25" s="211"/>
      <c r="BE25" s="212"/>
      <c r="BF25" s="211">
        <v>1110</v>
      </c>
      <c r="BG25" s="211"/>
      <c r="BH25" s="212"/>
      <c r="BI25" s="211">
        <v>1110</v>
      </c>
      <c r="BJ25" s="211"/>
      <c r="BK25" s="212"/>
      <c r="BL25" s="211">
        <v>1110</v>
      </c>
      <c r="BM25" s="211"/>
      <c r="BN25" s="212"/>
      <c r="BO25" s="211">
        <v>1110</v>
      </c>
      <c r="BP25" s="211"/>
      <c r="BQ25" s="212"/>
      <c r="BR25" s="211">
        <v>1110</v>
      </c>
      <c r="BS25" s="211"/>
      <c r="BT25" s="212"/>
      <c r="BU25" s="211">
        <v>1110</v>
      </c>
      <c r="BV25" s="211"/>
      <c r="BW25" s="212"/>
      <c r="BX25" s="211">
        <v>1110</v>
      </c>
      <c r="BY25" s="211"/>
      <c r="BZ25" s="212"/>
      <c r="CA25" s="211">
        <v>1110</v>
      </c>
      <c r="CB25" s="211"/>
      <c r="CC25" s="212"/>
      <c r="CD25" s="211">
        <v>1110</v>
      </c>
      <c r="CE25" s="211"/>
      <c r="CF25" s="212"/>
      <c r="CG25" s="211">
        <v>1110</v>
      </c>
      <c r="CH25" s="211"/>
      <c r="CI25" s="212"/>
      <c r="CJ25" s="211">
        <v>1110</v>
      </c>
      <c r="CK25" s="211"/>
      <c r="CL25" s="212"/>
      <c r="CM25" s="211">
        <v>1110</v>
      </c>
      <c r="CN25" s="211"/>
      <c r="CO25" s="212"/>
      <c r="CP25" s="211">
        <v>1110</v>
      </c>
      <c r="CQ25" s="211"/>
      <c r="CR25" s="212"/>
      <c r="CS25" s="211">
        <v>21840</v>
      </c>
      <c r="CT25" s="211"/>
      <c r="CU25" s="212"/>
      <c r="CV25" s="211">
        <v>21840</v>
      </c>
      <c r="CW25" s="211"/>
      <c r="CX25" s="212"/>
      <c r="CY25" s="211">
        <v>21840</v>
      </c>
      <c r="CZ25" s="211"/>
      <c r="DA25" s="212"/>
      <c r="DB25" s="211">
        <v>21840</v>
      </c>
      <c r="DC25" s="211"/>
      <c r="DD25" s="212"/>
      <c r="DE25" s="211">
        <v>21840</v>
      </c>
      <c r="DF25" s="211"/>
      <c r="DG25" s="212"/>
      <c r="DH25" s="211">
        <v>21840</v>
      </c>
      <c r="DI25" s="211"/>
      <c r="DJ25" s="212"/>
      <c r="DK25" s="211">
        <v>21840</v>
      </c>
      <c r="DL25" s="211"/>
      <c r="DM25" s="212"/>
      <c r="DN25" s="211">
        <v>21840</v>
      </c>
      <c r="DO25" s="211"/>
      <c r="DP25" s="212"/>
      <c r="DQ25" s="211">
        <v>21840</v>
      </c>
      <c r="DR25" s="211"/>
      <c r="DS25" s="212"/>
      <c r="DT25" s="211">
        <v>21840</v>
      </c>
      <c r="DU25" s="211"/>
      <c r="DV25" s="212"/>
      <c r="DW25" s="211">
        <v>21840</v>
      </c>
      <c r="DX25" s="211"/>
      <c r="DY25" s="212"/>
      <c r="DZ25" s="211">
        <v>21840</v>
      </c>
      <c r="EA25" s="211"/>
      <c r="EB25" s="212"/>
      <c r="EC25" s="211">
        <v>21840</v>
      </c>
      <c r="ED25" s="211"/>
      <c r="EE25" s="212"/>
      <c r="EF25" s="211">
        <v>21840</v>
      </c>
      <c r="EG25" s="211"/>
      <c r="EH25" s="212"/>
      <c r="EI25" s="211">
        <v>21840</v>
      </c>
      <c r="EJ25" s="211"/>
      <c r="EK25" s="212"/>
      <c r="EL25" s="211">
        <v>21840</v>
      </c>
      <c r="EM25" s="211"/>
      <c r="EN25" s="212"/>
      <c r="EO25" s="211">
        <v>21840</v>
      </c>
      <c r="EP25" s="211"/>
      <c r="EQ25" s="212"/>
      <c r="ER25" s="211">
        <v>21840</v>
      </c>
      <c r="ES25" s="211"/>
      <c r="ET25" s="212"/>
      <c r="EU25" s="211">
        <v>21840</v>
      </c>
      <c r="EV25" s="211"/>
      <c r="EW25" s="212"/>
    </row>
    <row r="26" spans="1:153" ht="18" customHeight="1">
      <c r="K26" s="58"/>
      <c r="AC26" s="229"/>
      <c r="AD26" s="162" t="s">
        <v>16</v>
      </c>
      <c r="AE26" s="233">
        <v>20780</v>
      </c>
      <c r="AF26" s="234"/>
      <c r="AG26" s="234"/>
      <c r="AH26" s="211">
        <v>20780</v>
      </c>
      <c r="AI26" s="211"/>
      <c r="AJ26" s="212"/>
      <c r="AK26" s="211">
        <v>20780</v>
      </c>
      <c r="AL26" s="211"/>
      <c r="AM26" s="212"/>
      <c r="AN26" s="211">
        <v>20780</v>
      </c>
      <c r="AO26" s="211"/>
      <c r="AP26" s="212"/>
      <c r="AQ26" s="211">
        <v>20780</v>
      </c>
      <c r="AR26" s="211"/>
      <c r="AS26" s="212"/>
      <c r="AT26" s="211">
        <v>20780</v>
      </c>
      <c r="AU26" s="211"/>
      <c r="AV26" s="212"/>
      <c r="AW26" s="211">
        <v>20780</v>
      </c>
      <c r="AX26" s="211"/>
      <c r="AY26" s="212"/>
      <c r="AZ26" s="211">
        <v>20780</v>
      </c>
      <c r="BA26" s="211"/>
      <c r="BB26" s="212"/>
      <c r="BC26" s="211">
        <v>20780</v>
      </c>
      <c r="BD26" s="211"/>
      <c r="BE26" s="212"/>
      <c r="BF26" s="211">
        <v>1660</v>
      </c>
      <c r="BG26" s="211"/>
      <c r="BH26" s="212"/>
      <c r="BI26" s="211">
        <v>1660</v>
      </c>
      <c r="BJ26" s="211"/>
      <c r="BK26" s="212"/>
      <c r="BL26" s="211">
        <v>1660</v>
      </c>
      <c r="BM26" s="211"/>
      <c r="BN26" s="212"/>
      <c r="BO26" s="211">
        <v>1660</v>
      </c>
      <c r="BP26" s="211"/>
      <c r="BQ26" s="212"/>
      <c r="BR26" s="211">
        <v>20780</v>
      </c>
      <c r="BS26" s="211"/>
      <c r="BT26" s="212"/>
      <c r="BU26" s="211">
        <v>20780</v>
      </c>
      <c r="BV26" s="211"/>
      <c r="BW26" s="212"/>
      <c r="BX26" s="211">
        <v>1660</v>
      </c>
      <c r="BY26" s="211"/>
      <c r="BZ26" s="212"/>
      <c r="CA26" s="211">
        <v>20780</v>
      </c>
      <c r="CB26" s="211"/>
      <c r="CC26" s="212"/>
      <c r="CD26" s="211">
        <v>1660</v>
      </c>
      <c r="CE26" s="211"/>
      <c r="CF26" s="212"/>
      <c r="CG26" s="211">
        <v>1660</v>
      </c>
      <c r="CH26" s="211"/>
      <c r="CI26" s="212"/>
      <c r="CJ26" s="211">
        <v>20780</v>
      </c>
      <c r="CK26" s="211"/>
      <c r="CL26" s="212"/>
      <c r="CM26" s="211">
        <v>20780</v>
      </c>
      <c r="CN26" s="211"/>
      <c r="CO26" s="212"/>
      <c r="CP26" s="211">
        <v>20780</v>
      </c>
      <c r="CQ26" s="211"/>
      <c r="CR26" s="212"/>
      <c r="CS26" s="211">
        <v>20780</v>
      </c>
      <c r="CT26" s="211"/>
      <c r="CU26" s="212"/>
      <c r="CV26" s="211">
        <v>20780</v>
      </c>
      <c r="CW26" s="211"/>
      <c r="CX26" s="212"/>
      <c r="CY26" s="211">
        <v>20780</v>
      </c>
      <c r="CZ26" s="211"/>
      <c r="DA26" s="212"/>
      <c r="DB26" s="211">
        <v>20780</v>
      </c>
      <c r="DC26" s="211"/>
      <c r="DD26" s="212"/>
      <c r="DE26" s="211">
        <v>20780</v>
      </c>
      <c r="DF26" s="211"/>
      <c r="DG26" s="212"/>
      <c r="DH26" s="211">
        <v>20780</v>
      </c>
      <c r="DI26" s="211"/>
      <c r="DJ26" s="212"/>
      <c r="DK26" s="211">
        <v>20780</v>
      </c>
      <c r="DL26" s="211"/>
      <c r="DM26" s="212"/>
      <c r="DN26" s="211">
        <v>20780</v>
      </c>
      <c r="DO26" s="211"/>
      <c r="DP26" s="212"/>
      <c r="DQ26" s="211">
        <v>20780</v>
      </c>
      <c r="DR26" s="211"/>
      <c r="DS26" s="212"/>
      <c r="DT26" s="211">
        <v>20780</v>
      </c>
      <c r="DU26" s="211"/>
      <c r="DV26" s="212"/>
      <c r="DW26" s="211">
        <v>20780</v>
      </c>
      <c r="DX26" s="211"/>
      <c r="DY26" s="212"/>
      <c r="DZ26" s="211">
        <v>20780</v>
      </c>
      <c r="EA26" s="211"/>
      <c r="EB26" s="212"/>
      <c r="EC26" s="211">
        <v>20780</v>
      </c>
      <c r="ED26" s="211"/>
      <c r="EE26" s="212"/>
      <c r="EF26" s="211">
        <v>20780</v>
      </c>
      <c r="EG26" s="211"/>
      <c r="EH26" s="212"/>
      <c r="EI26" s="211">
        <v>20780</v>
      </c>
      <c r="EJ26" s="211"/>
      <c r="EK26" s="212"/>
      <c r="EL26" s="211">
        <v>20780</v>
      </c>
      <c r="EM26" s="211"/>
      <c r="EN26" s="212"/>
      <c r="EO26" s="211">
        <v>20780</v>
      </c>
      <c r="EP26" s="211"/>
      <c r="EQ26" s="212"/>
      <c r="ER26" s="211">
        <v>20780</v>
      </c>
      <c r="ES26" s="211"/>
      <c r="ET26" s="212"/>
      <c r="EU26" s="211">
        <v>20780</v>
      </c>
      <c r="EV26" s="211"/>
      <c r="EW26" s="212"/>
    </row>
    <row r="27" spans="1:153" ht="5.0999999999999996" hidden="1" customHeight="1">
      <c r="K27" s="58"/>
      <c r="AC27" s="226"/>
      <c r="AD27" s="161"/>
      <c r="AE27" s="235"/>
      <c r="AF27" s="236"/>
      <c r="AG27" s="236"/>
      <c r="AH27" s="211"/>
      <c r="AI27" s="211"/>
      <c r="AJ27" s="212"/>
      <c r="AK27" s="211"/>
      <c r="AL27" s="211"/>
      <c r="AM27" s="212"/>
      <c r="AN27" s="211"/>
      <c r="AO27" s="211"/>
      <c r="AP27" s="212"/>
      <c r="AQ27" s="211"/>
      <c r="AR27" s="211"/>
      <c r="AS27" s="212"/>
      <c r="AT27" s="211"/>
      <c r="AU27" s="211"/>
      <c r="AV27" s="212"/>
      <c r="AW27" s="211"/>
      <c r="AX27" s="211"/>
      <c r="AY27" s="212"/>
      <c r="AZ27" s="211"/>
      <c r="BA27" s="211"/>
      <c r="BB27" s="212"/>
      <c r="BC27" s="211"/>
      <c r="BD27" s="211"/>
      <c r="BE27" s="212"/>
      <c r="BF27" s="211"/>
      <c r="BG27" s="211"/>
      <c r="BH27" s="212"/>
      <c r="BI27" s="211"/>
      <c r="BJ27" s="211"/>
      <c r="BK27" s="212"/>
      <c r="BL27" s="211"/>
      <c r="BM27" s="211"/>
      <c r="BN27" s="212"/>
      <c r="BO27" s="211"/>
      <c r="BP27" s="211"/>
      <c r="BQ27" s="212"/>
      <c r="BR27" s="211"/>
      <c r="BS27" s="211"/>
      <c r="BT27" s="212"/>
      <c r="BU27" s="211"/>
      <c r="BV27" s="211"/>
      <c r="BW27" s="212"/>
      <c r="BX27" s="211"/>
      <c r="BY27" s="211"/>
      <c r="BZ27" s="212"/>
      <c r="CA27" s="211"/>
      <c r="CB27" s="211"/>
      <c r="CC27" s="212"/>
      <c r="CD27" s="211"/>
      <c r="CE27" s="211"/>
      <c r="CF27" s="212"/>
      <c r="CG27" s="211"/>
      <c r="CH27" s="211"/>
      <c r="CI27" s="212"/>
      <c r="CJ27" s="211"/>
      <c r="CK27" s="211"/>
      <c r="CL27" s="212"/>
      <c r="CM27" s="211"/>
      <c r="CN27" s="211"/>
      <c r="CO27" s="212"/>
      <c r="CP27" s="211"/>
      <c r="CQ27" s="211"/>
      <c r="CR27" s="212"/>
      <c r="CS27" s="211"/>
      <c r="CT27" s="211"/>
      <c r="CU27" s="212"/>
      <c r="CV27" s="211"/>
      <c r="CW27" s="211"/>
      <c r="CX27" s="212"/>
      <c r="CY27" s="211"/>
      <c r="CZ27" s="211"/>
      <c r="DA27" s="212"/>
      <c r="DB27" s="211"/>
      <c r="DC27" s="211"/>
      <c r="DD27" s="212"/>
      <c r="DE27" s="211"/>
      <c r="DF27" s="211"/>
      <c r="DG27" s="212"/>
      <c r="DH27" s="211"/>
      <c r="DI27" s="211"/>
      <c r="DJ27" s="212"/>
      <c r="DK27" s="211"/>
      <c r="DL27" s="211"/>
      <c r="DM27" s="212"/>
      <c r="DN27" s="211"/>
      <c r="DO27" s="211"/>
      <c r="DP27" s="212"/>
      <c r="DQ27" s="211"/>
      <c r="DR27" s="211"/>
      <c r="DS27" s="212"/>
      <c r="DT27" s="211"/>
      <c r="DU27" s="211"/>
      <c r="DV27" s="212"/>
      <c r="DW27" s="211"/>
      <c r="DX27" s="211"/>
      <c r="DY27" s="212"/>
      <c r="DZ27" s="211"/>
      <c r="EA27" s="211"/>
      <c r="EB27" s="212"/>
      <c r="EC27" s="211"/>
      <c r="ED27" s="211"/>
      <c r="EE27" s="212"/>
      <c r="EF27" s="211"/>
      <c r="EG27" s="211"/>
      <c r="EH27" s="212"/>
      <c r="EI27" s="211"/>
      <c r="EJ27" s="211"/>
      <c r="EK27" s="212"/>
      <c r="EL27" s="211"/>
      <c r="EM27" s="211"/>
      <c r="EN27" s="212"/>
      <c r="EO27" s="211"/>
      <c r="EP27" s="211"/>
      <c r="EQ27" s="212"/>
      <c r="ER27" s="211"/>
      <c r="ES27" s="211"/>
      <c r="ET27" s="212"/>
      <c r="EU27" s="211"/>
      <c r="EV27" s="211"/>
      <c r="EW27" s="212"/>
    </row>
    <row r="28" spans="1:153" ht="4.5" hidden="1" customHeight="1">
      <c r="K28" s="58"/>
      <c r="AC28" s="227"/>
      <c r="AD28" s="161"/>
      <c r="AE28" s="235"/>
      <c r="AF28" s="236"/>
      <c r="AG28" s="236"/>
      <c r="AH28" s="211"/>
      <c r="AI28" s="211"/>
      <c r="AJ28" s="212"/>
      <c r="AK28" s="211"/>
      <c r="AL28" s="211"/>
      <c r="AM28" s="212"/>
      <c r="AN28" s="211"/>
      <c r="AO28" s="211"/>
      <c r="AP28" s="212"/>
      <c r="AQ28" s="211"/>
      <c r="AR28" s="211"/>
      <c r="AS28" s="212"/>
      <c r="AT28" s="211"/>
      <c r="AU28" s="211"/>
      <c r="AV28" s="212"/>
      <c r="AW28" s="211"/>
      <c r="AX28" s="211"/>
      <c r="AY28" s="212"/>
      <c r="AZ28" s="211"/>
      <c r="BA28" s="211"/>
      <c r="BB28" s="212"/>
      <c r="BC28" s="211"/>
      <c r="BD28" s="211"/>
      <c r="BE28" s="212"/>
      <c r="BF28" s="211"/>
      <c r="BG28" s="211"/>
      <c r="BH28" s="212"/>
      <c r="BI28" s="211"/>
      <c r="BJ28" s="211"/>
      <c r="BK28" s="212"/>
      <c r="BL28" s="211"/>
      <c r="BM28" s="211"/>
      <c r="BN28" s="212"/>
      <c r="BO28" s="211"/>
      <c r="BP28" s="211"/>
      <c r="BQ28" s="212"/>
      <c r="BR28" s="211"/>
      <c r="BS28" s="211"/>
      <c r="BT28" s="212"/>
      <c r="BU28" s="211"/>
      <c r="BV28" s="211"/>
      <c r="BW28" s="212"/>
      <c r="BX28" s="211"/>
      <c r="BY28" s="211"/>
      <c r="BZ28" s="212"/>
      <c r="CA28" s="211"/>
      <c r="CB28" s="211"/>
      <c r="CC28" s="212"/>
      <c r="CD28" s="211"/>
      <c r="CE28" s="211"/>
      <c r="CF28" s="212"/>
      <c r="CG28" s="211"/>
      <c r="CH28" s="211"/>
      <c r="CI28" s="212"/>
      <c r="CJ28" s="211"/>
      <c r="CK28" s="211"/>
      <c r="CL28" s="212"/>
      <c r="CM28" s="211"/>
      <c r="CN28" s="211"/>
      <c r="CO28" s="212"/>
      <c r="CP28" s="211"/>
      <c r="CQ28" s="211"/>
      <c r="CR28" s="212"/>
      <c r="CS28" s="211"/>
      <c r="CT28" s="211"/>
      <c r="CU28" s="212"/>
      <c r="CV28" s="211"/>
      <c r="CW28" s="211"/>
      <c r="CX28" s="212"/>
      <c r="CY28" s="211"/>
      <c r="CZ28" s="211"/>
      <c r="DA28" s="212"/>
      <c r="DB28" s="211"/>
      <c r="DC28" s="211"/>
      <c r="DD28" s="212"/>
      <c r="DE28" s="211"/>
      <c r="DF28" s="211"/>
      <c r="DG28" s="212"/>
      <c r="DH28" s="211"/>
      <c r="DI28" s="211"/>
      <c r="DJ28" s="212"/>
      <c r="DK28" s="211"/>
      <c r="DL28" s="211"/>
      <c r="DM28" s="212"/>
      <c r="DN28" s="211"/>
      <c r="DO28" s="211"/>
      <c r="DP28" s="212"/>
      <c r="DQ28" s="211"/>
      <c r="DR28" s="211"/>
      <c r="DS28" s="212"/>
      <c r="DT28" s="211"/>
      <c r="DU28" s="211"/>
      <c r="DV28" s="212"/>
      <c r="DW28" s="211"/>
      <c r="DX28" s="211"/>
      <c r="DY28" s="212"/>
      <c r="DZ28" s="211"/>
      <c r="EA28" s="211"/>
      <c r="EB28" s="212"/>
      <c r="EC28" s="211"/>
      <c r="ED28" s="211"/>
      <c r="EE28" s="212"/>
      <c r="EF28" s="211"/>
      <c r="EG28" s="211"/>
      <c r="EH28" s="212"/>
      <c r="EI28" s="211"/>
      <c r="EJ28" s="211"/>
      <c r="EK28" s="212"/>
      <c r="EL28" s="211"/>
      <c r="EM28" s="211"/>
      <c r="EN28" s="212"/>
      <c r="EO28" s="211"/>
      <c r="EP28" s="211"/>
      <c r="EQ28" s="212"/>
      <c r="ER28" s="211"/>
      <c r="ES28" s="211"/>
      <c r="ET28" s="212"/>
      <c r="EU28" s="211"/>
      <c r="EV28" s="211"/>
      <c r="EW28" s="212"/>
    </row>
    <row r="29" spans="1:153" ht="18" customHeight="1">
      <c r="F29" s="16"/>
      <c r="J29" s="4"/>
      <c r="AC29" s="275" t="s">
        <v>54</v>
      </c>
      <c r="AD29" s="162" t="s">
        <v>2</v>
      </c>
      <c r="AE29" s="233">
        <v>-10920</v>
      </c>
      <c r="AF29" s="234"/>
      <c r="AG29" s="234"/>
      <c r="AH29" s="211">
        <v>-21385</v>
      </c>
      <c r="AI29" s="211"/>
      <c r="AJ29" s="212"/>
      <c r="AK29" s="211">
        <v>-15925</v>
      </c>
      <c r="AL29" s="211"/>
      <c r="AM29" s="212"/>
      <c r="AN29" s="211">
        <v>-10465</v>
      </c>
      <c r="AO29" s="211"/>
      <c r="AP29" s="212"/>
      <c r="AQ29" s="211">
        <v>-21385</v>
      </c>
      <c r="AR29" s="211"/>
      <c r="AS29" s="212"/>
      <c r="AT29" s="211">
        <v>-14105</v>
      </c>
      <c r="AU29" s="211"/>
      <c r="AV29" s="212"/>
      <c r="AW29" s="211">
        <v>-6825</v>
      </c>
      <c r="AX29" s="211"/>
      <c r="AY29" s="212"/>
      <c r="AZ29" s="211">
        <v>-21385</v>
      </c>
      <c r="BA29" s="211"/>
      <c r="BB29" s="212"/>
      <c r="BC29" s="211">
        <v>-20910</v>
      </c>
      <c r="BD29" s="211"/>
      <c r="BE29" s="212"/>
      <c r="BF29" s="211">
        <v>-20910</v>
      </c>
      <c r="BG29" s="211"/>
      <c r="BH29" s="212"/>
      <c r="BI29" s="211">
        <v>-9810</v>
      </c>
      <c r="BJ29" s="211"/>
      <c r="BK29" s="212"/>
      <c r="BL29" s="211">
        <v>-6480</v>
      </c>
      <c r="BM29" s="211"/>
      <c r="BN29" s="212"/>
      <c r="BO29" s="211">
        <v>-3150</v>
      </c>
      <c r="BP29" s="211"/>
      <c r="BQ29" s="212"/>
      <c r="BR29" s="211">
        <v>-6480</v>
      </c>
      <c r="BS29" s="211"/>
      <c r="BT29" s="212"/>
      <c r="BU29" s="211">
        <v>-6480</v>
      </c>
      <c r="BV29" s="211"/>
      <c r="BW29" s="212"/>
      <c r="BX29" s="211">
        <v>-6480</v>
      </c>
      <c r="BY29" s="211"/>
      <c r="BZ29" s="212"/>
      <c r="CA29" s="211">
        <v>-20910</v>
      </c>
      <c r="CB29" s="211"/>
      <c r="CC29" s="212"/>
      <c r="CD29" s="211">
        <v>-2040</v>
      </c>
      <c r="CE29" s="211"/>
      <c r="CF29" s="212"/>
      <c r="CG29" s="211">
        <v>-9810</v>
      </c>
      <c r="CH29" s="211"/>
      <c r="CI29" s="212"/>
      <c r="CJ29" s="211">
        <v>-20910</v>
      </c>
      <c r="CK29" s="211"/>
      <c r="CL29" s="212"/>
      <c r="CM29" s="211">
        <v>-20910</v>
      </c>
      <c r="CN29" s="211"/>
      <c r="CO29" s="212"/>
      <c r="CP29" s="211">
        <v>-20910</v>
      </c>
      <c r="CQ29" s="211"/>
      <c r="CR29" s="212"/>
      <c r="CS29" s="211">
        <v>-3853</v>
      </c>
      <c r="CT29" s="211"/>
      <c r="CU29" s="212"/>
      <c r="CV29" s="211">
        <v>-17979</v>
      </c>
      <c r="CW29" s="211"/>
      <c r="CX29" s="212"/>
      <c r="CY29" s="211">
        <v>-17759</v>
      </c>
      <c r="CZ29" s="211"/>
      <c r="DA29" s="212"/>
      <c r="DB29" s="211">
        <v>-3853</v>
      </c>
      <c r="DC29" s="211"/>
      <c r="DD29" s="212"/>
      <c r="DE29" s="211">
        <v>-12554</v>
      </c>
      <c r="DF29" s="211"/>
      <c r="DG29" s="212"/>
      <c r="DH29" s="211">
        <v>-9222</v>
      </c>
      <c r="DI29" s="211"/>
      <c r="DJ29" s="212"/>
      <c r="DK29" s="211">
        <v>-15098</v>
      </c>
      <c r="DL29" s="211"/>
      <c r="DM29" s="212"/>
      <c r="DN29" s="211">
        <v>-17628</v>
      </c>
      <c r="DO29" s="211"/>
      <c r="DP29" s="212"/>
      <c r="DQ29" s="211">
        <v>-20194</v>
      </c>
      <c r="DR29" s="211"/>
      <c r="DS29" s="212"/>
      <c r="DT29" s="211">
        <v>-20260</v>
      </c>
      <c r="DU29" s="211"/>
      <c r="DV29" s="212"/>
      <c r="DW29" s="211">
        <v>-3880</v>
      </c>
      <c r="DX29" s="211"/>
      <c r="DY29" s="212"/>
      <c r="DZ29" s="211">
        <v>-18252</v>
      </c>
      <c r="EA29" s="211"/>
      <c r="EB29" s="212"/>
      <c r="EC29" s="211">
        <v>-3880</v>
      </c>
      <c r="ED29" s="211"/>
      <c r="EE29" s="212"/>
      <c r="EF29" s="211">
        <v>-3880</v>
      </c>
      <c r="EG29" s="211"/>
      <c r="EH29" s="212"/>
      <c r="EI29" s="211">
        <v>-3880</v>
      </c>
      <c r="EJ29" s="211"/>
      <c r="EK29" s="212"/>
      <c r="EL29" s="211">
        <v>-3880</v>
      </c>
      <c r="EM29" s="211"/>
      <c r="EN29" s="212"/>
      <c r="EO29" s="211">
        <v>-20260</v>
      </c>
      <c r="EP29" s="211"/>
      <c r="EQ29" s="212"/>
      <c r="ER29" s="211">
        <v>-10970</v>
      </c>
      <c r="ES29" s="211"/>
      <c r="ET29" s="212"/>
      <c r="EU29" s="211">
        <v>-10970</v>
      </c>
      <c r="EV29" s="211"/>
      <c r="EW29" s="212"/>
    </row>
    <row r="30" spans="1:153" ht="18" customHeight="1">
      <c r="I30" s="34"/>
      <c r="J30" s="34"/>
      <c r="K30" s="34"/>
      <c r="AC30" s="294"/>
      <c r="AD30" s="162" t="s">
        <v>16</v>
      </c>
      <c r="AE30" s="233">
        <v>-10390</v>
      </c>
      <c r="AF30" s="234"/>
      <c r="AG30" s="234"/>
      <c r="AH30" s="211">
        <v>-2190</v>
      </c>
      <c r="AI30" s="211"/>
      <c r="AJ30" s="212"/>
      <c r="AK30" s="211">
        <v>-730</v>
      </c>
      <c r="AL30" s="211"/>
      <c r="AM30" s="212"/>
      <c r="AN30" s="211">
        <v>-730</v>
      </c>
      <c r="AO30" s="211"/>
      <c r="AP30" s="212"/>
      <c r="AQ30" s="211">
        <v>-3650</v>
      </c>
      <c r="AR30" s="211"/>
      <c r="AS30" s="212"/>
      <c r="AT30" s="211">
        <v>-3650</v>
      </c>
      <c r="AU30" s="211"/>
      <c r="AV30" s="212"/>
      <c r="AW30" s="211">
        <v>-3650</v>
      </c>
      <c r="AX30" s="211"/>
      <c r="AY30" s="212"/>
      <c r="AZ30" s="211">
        <v>-5110</v>
      </c>
      <c r="BA30" s="211"/>
      <c r="BB30" s="212"/>
      <c r="BC30" s="211">
        <v>-6670</v>
      </c>
      <c r="BD30" s="211"/>
      <c r="BE30" s="212"/>
      <c r="BF30" s="211">
        <v>-9990</v>
      </c>
      <c r="BG30" s="211"/>
      <c r="BH30" s="212"/>
      <c r="BI30" s="211">
        <v>-11650</v>
      </c>
      <c r="BJ30" s="211"/>
      <c r="BK30" s="212"/>
      <c r="BL30" s="211">
        <v>-11650</v>
      </c>
      <c r="BM30" s="211"/>
      <c r="BN30" s="212"/>
      <c r="BO30" s="211">
        <v>-11650</v>
      </c>
      <c r="BP30" s="211"/>
      <c r="BQ30" s="212"/>
      <c r="BR30" s="211">
        <v>-18290</v>
      </c>
      <c r="BS30" s="211"/>
      <c r="BT30" s="212"/>
      <c r="BU30" s="211">
        <v>-19950</v>
      </c>
      <c r="BV30" s="211"/>
      <c r="BW30" s="212"/>
      <c r="BX30" s="211">
        <v>-16630</v>
      </c>
      <c r="BY30" s="211"/>
      <c r="BZ30" s="212"/>
      <c r="CA30" s="211">
        <v>-13310</v>
      </c>
      <c r="CB30" s="211"/>
      <c r="CC30" s="212"/>
      <c r="CD30" s="211">
        <v>-16630</v>
      </c>
      <c r="CE30" s="211"/>
      <c r="CF30" s="212"/>
      <c r="CG30" s="211">
        <v>-16630</v>
      </c>
      <c r="CH30" s="211"/>
      <c r="CI30" s="212"/>
      <c r="CJ30" s="211">
        <v>-11650</v>
      </c>
      <c r="CK30" s="211"/>
      <c r="CL30" s="212"/>
      <c r="CM30" s="211">
        <v>-14970</v>
      </c>
      <c r="CN30" s="211"/>
      <c r="CO30" s="212"/>
      <c r="CP30" s="211">
        <v>-16630</v>
      </c>
      <c r="CQ30" s="211"/>
      <c r="CR30" s="212"/>
      <c r="CS30" s="211">
        <v>-20717</v>
      </c>
      <c r="CT30" s="211"/>
      <c r="CU30" s="212"/>
      <c r="CV30" s="211">
        <v>-63</v>
      </c>
      <c r="CW30" s="211"/>
      <c r="CX30" s="212"/>
      <c r="CY30" s="211">
        <v>-20717</v>
      </c>
      <c r="CZ30" s="211"/>
      <c r="DA30" s="212"/>
      <c r="DB30" s="211">
        <v>-63</v>
      </c>
      <c r="DC30" s="211"/>
      <c r="DD30" s="212"/>
      <c r="DE30" s="211">
        <v>-18052</v>
      </c>
      <c r="DF30" s="211"/>
      <c r="DG30" s="212"/>
      <c r="DH30" s="211">
        <v>-17524</v>
      </c>
      <c r="DI30" s="211"/>
      <c r="DJ30" s="212"/>
      <c r="DK30" s="211">
        <v>-19668</v>
      </c>
      <c r="DL30" s="211"/>
      <c r="DM30" s="212"/>
      <c r="DN30" s="211">
        <v>-18125</v>
      </c>
      <c r="DO30" s="211"/>
      <c r="DP30" s="212"/>
      <c r="DQ30" s="211">
        <v>-442.5</v>
      </c>
      <c r="DR30" s="211"/>
      <c r="DS30" s="212"/>
      <c r="DT30" s="211">
        <v>-1029</v>
      </c>
      <c r="DU30" s="211"/>
      <c r="DV30" s="212"/>
      <c r="DW30" s="211">
        <v>-1029</v>
      </c>
      <c r="DX30" s="211"/>
      <c r="DY30" s="212"/>
      <c r="DZ30" s="211">
        <v>-1121.5</v>
      </c>
      <c r="EA30" s="211"/>
      <c r="EB30" s="212"/>
      <c r="EC30" s="211">
        <v>-1150.5</v>
      </c>
      <c r="ED30" s="211"/>
      <c r="EE30" s="212"/>
      <c r="EF30" s="211">
        <v>-1217.5</v>
      </c>
      <c r="EG30" s="211"/>
      <c r="EH30" s="212"/>
      <c r="EI30" s="211">
        <v>-1282</v>
      </c>
      <c r="EJ30" s="211"/>
      <c r="EK30" s="212"/>
      <c r="EL30" s="211">
        <v>-1342</v>
      </c>
      <c r="EM30" s="211"/>
      <c r="EN30" s="212"/>
      <c r="EO30" s="211">
        <v>-1380</v>
      </c>
      <c r="EP30" s="211"/>
      <c r="EQ30" s="212"/>
      <c r="ER30" s="211">
        <v>-17784</v>
      </c>
      <c r="ES30" s="211"/>
      <c r="ET30" s="212"/>
      <c r="EU30" s="211">
        <v>-17844</v>
      </c>
      <c r="EV30" s="211"/>
      <c r="EW30" s="212"/>
    </row>
    <row r="31" spans="1:153" s="10" customFormat="1" ht="9.9499999999999993" hidden="1" customHeight="1">
      <c r="A31" s="2"/>
      <c r="B31" s="2"/>
      <c r="C31" s="2"/>
      <c r="D31" s="2"/>
      <c r="E31" s="2"/>
      <c r="F31" s="2"/>
      <c r="G31" s="2"/>
      <c r="H31" s="2"/>
      <c r="I31" s="35"/>
      <c r="J31" s="35"/>
      <c r="K31" s="35"/>
      <c r="L31" s="35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2"/>
      <c r="AC31" s="293"/>
      <c r="AD31" s="293"/>
      <c r="AE31" s="235"/>
      <c r="AF31" s="236"/>
      <c r="AG31" s="236"/>
      <c r="AH31" s="211"/>
      <c r="AI31" s="211"/>
      <c r="AJ31" s="212"/>
      <c r="AK31" s="211"/>
      <c r="AL31" s="211"/>
      <c r="AM31" s="212"/>
      <c r="AN31" s="211"/>
      <c r="AO31" s="211"/>
      <c r="AP31" s="212"/>
      <c r="AQ31" s="211"/>
      <c r="AR31" s="211"/>
      <c r="AS31" s="212"/>
      <c r="AT31" s="211"/>
      <c r="AU31" s="211"/>
      <c r="AV31" s="212"/>
      <c r="AW31" s="211"/>
      <c r="AX31" s="211"/>
      <c r="AY31" s="212"/>
      <c r="AZ31" s="211"/>
      <c r="BA31" s="211"/>
      <c r="BB31" s="212"/>
      <c r="BC31" s="211"/>
      <c r="BD31" s="211"/>
      <c r="BE31" s="212"/>
      <c r="BF31" s="211"/>
      <c r="BG31" s="211"/>
      <c r="BH31" s="212"/>
      <c r="BI31" s="211"/>
      <c r="BJ31" s="211"/>
      <c r="BK31" s="212"/>
      <c r="BL31" s="211"/>
      <c r="BM31" s="211"/>
      <c r="BN31" s="212"/>
      <c r="BO31" s="211"/>
      <c r="BP31" s="211"/>
      <c r="BQ31" s="212"/>
      <c r="BR31" s="211"/>
      <c r="BS31" s="211"/>
      <c r="BT31" s="212"/>
      <c r="BU31" s="211"/>
      <c r="BV31" s="211"/>
      <c r="BW31" s="212"/>
      <c r="BX31" s="211"/>
      <c r="BY31" s="211"/>
      <c r="BZ31" s="212"/>
      <c r="CA31" s="211"/>
      <c r="CB31" s="211"/>
      <c r="CC31" s="212"/>
      <c r="CD31" s="211"/>
      <c r="CE31" s="211"/>
      <c r="CF31" s="212"/>
      <c r="CG31" s="211"/>
      <c r="CH31" s="211"/>
      <c r="CI31" s="212"/>
      <c r="CJ31" s="211"/>
      <c r="CK31" s="211"/>
      <c r="CL31" s="212"/>
      <c r="CM31" s="211"/>
      <c r="CN31" s="211"/>
      <c r="CO31" s="212"/>
      <c r="CP31" s="211"/>
      <c r="CQ31" s="211"/>
      <c r="CR31" s="212"/>
      <c r="CS31" s="211"/>
      <c r="CT31" s="211"/>
      <c r="CU31" s="212"/>
      <c r="CV31" s="211"/>
      <c r="CW31" s="211"/>
      <c r="CX31" s="212"/>
      <c r="CY31" s="211"/>
      <c r="CZ31" s="211"/>
      <c r="DA31" s="212"/>
      <c r="DB31" s="211"/>
      <c r="DC31" s="211"/>
      <c r="DD31" s="212"/>
      <c r="DE31" s="211"/>
      <c r="DF31" s="211"/>
      <c r="DG31" s="212"/>
      <c r="DH31" s="211"/>
      <c r="DI31" s="211"/>
      <c r="DJ31" s="212"/>
      <c r="DK31" s="211"/>
      <c r="DL31" s="211"/>
      <c r="DM31" s="212"/>
      <c r="DN31" s="211"/>
      <c r="DO31" s="211"/>
      <c r="DP31" s="212"/>
      <c r="DQ31" s="211"/>
      <c r="DR31" s="211"/>
      <c r="DS31" s="212"/>
      <c r="DT31" s="211"/>
      <c r="DU31" s="211"/>
      <c r="DV31" s="212"/>
      <c r="DW31" s="211"/>
      <c r="DX31" s="211"/>
      <c r="DY31" s="212"/>
      <c r="DZ31" s="211"/>
      <c r="EA31" s="211"/>
      <c r="EB31" s="212"/>
      <c r="EC31" s="211"/>
      <c r="ED31" s="211"/>
      <c r="EE31" s="212"/>
      <c r="EF31" s="211"/>
      <c r="EG31" s="211"/>
      <c r="EH31" s="212"/>
      <c r="EI31" s="211"/>
      <c r="EJ31" s="211"/>
      <c r="EK31" s="212"/>
      <c r="EL31" s="211"/>
      <c r="EM31" s="211"/>
      <c r="EN31" s="212"/>
      <c r="EO31" s="211"/>
      <c r="EP31" s="211"/>
      <c r="EQ31" s="212"/>
      <c r="ER31" s="211"/>
      <c r="ES31" s="211"/>
      <c r="ET31" s="212"/>
      <c r="EU31" s="211"/>
      <c r="EV31" s="211"/>
      <c r="EW31" s="212"/>
    </row>
    <row r="32" spans="1:153" s="58" customFormat="1" ht="18" customHeight="1">
      <c r="A32" s="10"/>
      <c r="B32" s="10"/>
      <c r="C32" s="10"/>
      <c r="D32" s="10"/>
      <c r="E32" s="10"/>
      <c r="F32" s="10"/>
      <c r="G32" s="10"/>
      <c r="H32" s="10"/>
      <c r="I32" s="10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57"/>
      <c r="AC32" s="232" t="s">
        <v>107</v>
      </c>
      <c r="AD32" s="109" t="s">
        <v>1</v>
      </c>
      <c r="AE32" s="230">
        <v>0</v>
      </c>
      <c r="AF32" s="231"/>
      <c r="AG32" s="231"/>
      <c r="AH32" s="214">
        <v>0</v>
      </c>
      <c r="AI32" s="215"/>
      <c r="AJ32" s="215"/>
      <c r="AK32" s="214">
        <v>0</v>
      </c>
      <c r="AL32" s="215"/>
      <c r="AM32" s="215"/>
      <c r="AN32" s="214">
        <v>0</v>
      </c>
      <c r="AO32" s="215"/>
      <c r="AP32" s="215"/>
      <c r="AQ32" s="214">
        <v>0</v>
      </c>
      <c r="AR32" s="215"/>
      <c r="AS32" s="215"/>
      <c r="AT32" s="214">
        <v>0</v>
      </c>
      <c r="AU32" s="215"/>
      <c r="AV32" s="215"/>
      <c r="AW32" s="214">
        <v>0</v>
      </c>
      <c r="AX32" s="215"/>
      <c r="AY32" s="215"/>
      <c r="AZ32" s="214">
        <v>0</v>
      </c>
      <c r="BA32" s="215"/>
      <c r="BB32" s="215"/>
      <c r="BC32" s="214">
        <v>0</v>
      </c>
      <c r="BD32" s="215"/>
      <c r="BE32" s="215"/>
      <c r="BF32" s="214">
        <v>0</v>
      </c>
      <c r="BG32" s="215"/>
      <c r="BH32" s="215"/>
      <c r="BI32" s="214">
        <v>0</v>
      </c>
      <c r="BJ32" s="215"/>
      <c r="BK32" s="215"/>
      <c r="BL32" s="214">
        <v>0</v>
      </c>
      <c r="BM32" s="215"/>
      <c r="BN32" s="215"/>
      <c r="BO32" s="214">
        <v>0</v>
      </c>
      <c r="BP32" s="215"/>
      <c r="BQ32" s="215"/>
      <c r="BR32" s="214">
        <v>0</v>
      </c>
      <c r="BS32" s="215"/>
      <c r="BT32" s="215"/>
      <c r="BU32" s="306">
        <v>0</v>
      </c>
      <c r="BV32" s="307"/>
      <c r="BW32" s="307"/>
      <c r="BX32" s="214">
        <v>0</v>
      </c>
      <c r="BY32" s="215"/>
      <c r="BZ32" s="215"/>
      <c r="CA32" s="214">
        <v>0</v>
      </c>
      <c r="CB32" s="215"/>
      <c r="CC32" s="215"/>
      <c r="CD32" s="214">
        <v>0</v>
      </c>
      <c r="CE32" s="215"/>
      <c r="CF32" s="215"/>
      <c r="CG32" s="214">
        <v>0</v>
      </c>
      <c r="CH32" s="215"/>
      <c r="CI32" s="215"/>
      <c r="CJ32" s="214">
        <v>0</v>
      </c>
      <c r="CK32" s="215"/>
      <c r="CL32" s="215"/>
      <c r="CM32" s="214">
        <v>0</v>
      </c>
      <c r="CN32" s="215"/>
      <c r="CO32" s="215"/>
      <c r="CP32" s="214">
        <v>0</v>
      </c>
      <c r="CQ32" s="215"/>
      <c r="CR32" s="215"/>
      <c r="CS32" s="314">
        <v>0</v>
      </c>
      <c r="CT32" s="315"/>
      <c r="CU32" s="315"/>
      <c r="CV32" s="314">
        <v>0</v>
      </c>
      <c r="CW32" s="315"/>
      <c r="CX32" s="315"/>
      <c r="CY32" s="314">
        <v>0</v>
      </c>
      <c r="CZ32" s="315"/>
      <c r="DA32" s="315"/>
      <c r="DB32" s="314">
        <v>0</v>
      </c>
      <c r="DC32" s="315"/>
      <c r="DD32" s="315"/>
      <c r="DE32" s="322">
        <v>0</v>
      </c>
      <c r="DF32" s="323"/>
      <c r="DG32" s="323"/>
      <c r="DH32" s="322">
        <v>0</v>
      </c>
      <c r="DI32" s="323"/>
      <c r="DJ32" s="323"/>
      <c r="DK32" s="330">
        <v>0</v>
      </c>
      <c r="DL32" s="331"/>
      <c r="DM32" s="331"/>
      <c r="DN32" s="330">
        <v>0</v>
      </c>
      <c r="DO32" s="331"/>
      <c r="DP32" s="331"/>
      <c r="DQ32" s="330">
        <v>0</v>
      </c>
      <c r="DR32" s="331"/>
      <c r="DS32" s="331"/>
      <c r="DT32" s="330">
        <v>0</v>
      </c>
      <c r="DU32" s="331"/>
      <c r="DV32" s="331"/>
      <c r="DW32" s="330">
        <v>0</v>
      </c>
      <c r="DX32" s="331"/>
      <c r="DY32" s="331"/>
      <c r="DZ32" s="330">
        <v>0</v>
      </c>
      <c r="EA32" s="331"/>
      <c r="EB32" s="331"/>
      <c r="EC32" s="338">
        <v>0</v>
      </c>
      <c r="ED32" s="339"/>
      <c r="EE32" s="339"/>
      <c r="EF32" s="338">
        <v>0</v>
      </c>
      <c r="EG32" s="339"/>
      <c r="EH32" s="339"/>
      <c r="EI32" s="338">
        <v>0</v>
      </c>
      <c r="EJ32" s="339"/>
      <c r="EK32" s="339"/>
      <c r="EL32" s="338">
        <v>0</v>
      </c>
      <c r="EM32" s="339"/>
      <c r="EN32" s="339"/>
      <c r="EO32" s="338">
        <v>0</v>
      </c>
      <c r="EP32" s="339"/>
      <c r="EQ32" s="339"/>
      <c r="ER32" s="338">
        <v>0</v>
      </c>
      <c r="ES32" s="339"/>
      <c r="ET32" s="339"/>
      <c r="EU32" s="338">
        <v>0</v>
      </c>
      <c r="EV32" s="339"/>
      <c r="EW32" s="339"/>
    </row>
    <row r="33" spans="1:153" s="58" customFormat="1" ht="18" customHeight="1">
      <c r="A33" s="10"/>
      <c r="B33" s="10"/>
      <c r="C33" s="10"/>
      <c r="D33" s="10"/>
      <c r="E33" s="10"/>
      <c r="F33" s="10"/>
      <c r="G33" s="10"/>
      <c r="H33" s="10"/>
      <c r="I33" s="10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232"/>
      <c r="AD33" s="109" t="s">
        <v>4</v>
      </c>
      <c r="AE33" s="230">
        <v>0</v>
      </c>
      <c r="AF33" s="231"/>
      <c r="AG33" s="231"/>
      <c r="AH33" s="214">
        <v>0</v>
      </c>
      <c r="AI33" s="215"/>
      <c r="AJ33" s="215"/>
      <c r="AK33" s="214">
        <v>0</v>
      </c>
      <c r="AL33" s="215"/>
      <c r="AM33" s="215"/>
      <c r="AN33" s="214">
        <v>0</v>
      </c>
      <c r="AO33" s="215"/>
      <c r="AP33" s="215"/>
      <c r="AQ33" s="214">
        <v>0</v>
      </c>
      <c r="AR33" s="215"/>
      <c r="AS33" s="215"/>
      <c r="AT33" s="214">
        <v>0</v>
      </c>
      <c r="AU33" s="215"/>
      <c r="AV33" s="215"/>
      <c r="AW33" s="214">
        <v>0</v>
      </c>
      <c r="AX33" s="215"/>
      <c r="AY33" s="215"/>
      <c r="AZ33" s="214">
        <v>0</v>
      </c>
      <c r="BA33" s="215"/>
      <c r="BB33" s="215"/>
      <c r="BC33" s="214">
        <v>0</v>
      </c>
      <c r="BD33" s="215"/>
      <c r="BE33" s="215"/>
      <c r="BF33" s="214">
        <v>0</v>
      </c>
      <c r="BG33" s="215"/>
      <c r="BH33" s="215"/>
      <c r="BI33" s="214">
        <v>0</v>
      </c>
      <c r="BJ33" s="215"/>
      <c r="BK33" s="215"/>
      <c r="BL33" s="214">
        <v>0</v>
      </c>
      <c r="BM33" s="215"/>
      <c r="BN33" s="215"/>
      <c r="BO33" s="214">
        <v>0</v>
      </c>
      <c r="BP33" s="215"/>
      <c r="BQ33" s="215"/>
      <c r="BR33" s="214">
        <v>0</v>
      </c>
      <c r="BS33" s="215"/>
      <c r="BT33" s="215"/>
      <c r="BU33" s="306">
        <v>0</v>
      </c>
      <c r="BV33" s="307"/>
      <c r="BW33" s="307"/>
      <c r="BX33" s="214">
        <v>0</v>
      </c>
      <c r="BY33" s="215"/>
      <c r="BZ33" s="215"/>
      <c r="CA33" s="214">
        <v>0</v>
      </c>
      <c r="CB33" s="215"/>
      <c r="CC33" s="215"/>
      <c r="CD33" s="214">
        <v>0</v>
      </c>
      <c r="CE33" s="215"/>
      <c r="CF33" s="215"/>
      <c r="CG33" s="214">
        <v>0</v>
      </c>
      <c r="CH33" s="215"/>
      <c r="CI33" s="215"/>
      <c r="CJ33" s="214">
        <v>0</v>
      </c>
      <c r="CK33" s="215"/>
      <c r="CL33" s="215"/>
      <c r="CM33" s="214">
        <v>0</v>
      </c>
      <c r="CN33" s="215"/>
      <c r="CO33" s="215"/>
      <c r="CP33" s="214">
        <v>0</v>
      </c>
      <c r="CQ33" s="215"/>
      <c r="CR33" s="215"/>
      <c r="CS33" s="314">
        <v>0</v>
      </c>
      <c r="CT33" s="315"/>
      <c r="CU33" s="315"/>
      <c r="CV33" s="314">
        <v>0</v>
      </c>
      <c r="CW33" s="315"/>
      <c r="CX33" s="315"/>
      <c r="CY33" s="314">
        <v>0</v>
      </c>
      <c r="CZ33" s="315"/>
      <c r="DA33" s="315"/>
      <c r="DB33" s="314">
        <v>0</v>
      </c>
      <c r="DC33" s="315"/>
      <c r="DD33" s="315"/>
      <c r="DE33" s="322">
        <v>0</v>
      </c>
      <c r="DF33" s="323"/>
      <c r="DG33" s="323"/>
      <c r="DH33" s="322">
        <v>0</v>
      </c>
      <c r="DI33" s="323"/>
      <c r="DJ33" s="323"/>
      <c r="DK33" s="330">
        <v>0</v>
      </c>
      <c r="DL33" s="331"/>
      <c r="DM33" s="331"/>
      <c r="DN33" s="330">
        <v>0</v>
      </c>
      <c r="DO33" s="331"/>
      <c r="DP33" s="331"/>
      <c r="DQ33" s="330">
        <v>0</v>
      </c>
      <c r="DR33" s="331"/>
      <c r="DS33" s="331"/>
      <c r="DT33" s="330">
        <v>0</v>
      </c>
      <c r="DU33" s="331"/>
      <c r="DV33" s="331"/>
      <c r="DW33" s="330">
        <v>0</v>
      </c>
      <c r="DX33" s="331"/>
      <c r="DY33" s="331"/>
      <c r="DZ33" s="330">
        <v>0</v>
      </c>
      <c r="EA33" s="331"/>
      <c r="EB33" s="331"/>
      <c r="EC33" s="338">
        <v>0</v>
      </c>
      <c r="ED33" s="339"/>
      <c r="EE33" s="339"/>
      <c r="EF33" s="338">
        <v>0</v>
      </c>
      <c r="EG33" s="339"/>
      <c r="EH33" s="339"/>
      <c r="EI33" s="338">
        <v>0</v>
      </c>
      <c r="EJ33" s="339"/>
      <c r="EK33" s="339"/>
      <c r="EL33" s="338">
        <v>0</v>
      </c>
      <c r="EM33" s="339"/>
      <c r="EN33" s="339"/>
      <c r="EO33" s="338">
        <v>0</v>
      </c>
      <c r="EP33" s="339"/>
      <c r="EQ33" s="339"/>
      <c r="ER33" s="338">
        <v>0</v>
      </c>
      <c r="ES33" s="339"/>
      <c r="ET33" s="339"/>
      <c r="EU33" s="338">
        <v>0</v>
      </c>
      <c r="EV33" s="339"/>
      <c r="EW33" s="339"/>
    </row>
    <row r="34" spans="1:153" ht="18" customHeight="1">
      <c r="I34" s="35"/>
      <c r="J34" s="35"/>
      <c r="K34" s="35"/>
      <c r="L34" s="35"/>
      <c r="M34" s="35"/>
      <c r="N34" s="35"/>
      <c r="O34" s="35"/>
      <c r="AC34" s="290" t="s">
        <v>19</v>
      </c>
      <c r="AD34" s="291"/>
      <c r="AE34" s="292" t="s">
        <v>44</v>
      </c>
      <c r="AF34" s="292"/>
      <c r="AG34" s="292"/>
      <c r="AH34" s="213" t="s">
        <v>43</v>
      </c>
      <c r="AI34" s="213"/>
      <c r="AJ34" s="213"/>
      <c r="AK34" s="213" t="s">
        <v>43</v>
      </c>
      <c r="AL34" s="213"/>
      <c r="AM34" s="213"/>
      <c r="AN34" s="213" t="s">
        <v>43</v>
      </c>
      <c r="AO34" s="213"/>
      <c r="AP34" s="213"/>
      <c r="AQ34" s="213" t="s">
        <v>43</v>
      </c>
      <c r="AR34" s="213"/>
      <c r="AS34" s="213"/>
      <c r="AT34" s="213" t="s">
        <v>43</v>
      </c>
      <c r="AU34" s="213"/>
      <c r="AV34" s="213"/>
      <c r="AW34" s="213" t="s">
        <v>43</v>
      </c>
      <c r="AX34" s="213"/>
      <c r="AY34" s="213"/>
      <c r="AZ34" s="213" t="s">
        <v>43</v>
      </c>
      <c r="BA34" s="213"/>
      <c r="BB34" s="213"/>
      <c r="BC34" s="213" t="s">
        <v>43</v>
      </c>
      <c r="BD34" s="213"/>
      <c r="BE34" s="213"/>
      <c r="BF34" s="213" t="s">
        <v>43</v>
      </c>
      <c r="BG34" s="213"/>
      <c r="BH34" s="213"/>
      <c r="BI34" s="213" t="s">
        <v>43</v>
      </c>
      <c r="BJ34" s="213"/>
      <c r="BK34" s="213"/>
      <c r="BL34" s="213" t="s">
        <v>43</v>
      </c>
      <c r="BM34" s="213"/>
      <c r="BN34" s="213"/>
      <c r="BO34" s="213" t="s">
        <v>43</v>
      </c>
      <c r="BP34" s="213"/>
      <c r="BQ34" s="213"/>
      <c r="BR34" s="213" t="s">
        <v>43</v>
      </c>
      <c r="BS34" s="213"/>
      <c r="BT34" s="213"/>
      <c r="BU34" s="308" t="s">
        <v>43</v>
      </c>
      <c r="BV34" s="308"/>
      <c r="BW34" s="308"/>
      <c r="BX34" s="213" t="s">
        <v>43</v>
      </c>
      <c r="BY34" s="213"/>
      <c r="BZ34" s="213"/>
      <c r="CA34" s="213" t="s">
        <v>43</v>
      </c>
      <c r="CB34" s="213"/>
      <c r="CC34" s="213"/>
      <c r="CD34" s="213" t="s">
        <v>43</v>
      </c>
      <c r="CE34" s="213"/>
      <c r="CF34" s="213"/>
      <c r="CG34" s="213" t="s">
        <v>43</v>
      </c>
      <c r="CH34" s="213"/>
      <c r="CI34" s="213"/>
      <c r="CJ34" s="213" t="s">
        <v>43</v>
      </c>
      <c r="CK34" s="213"/>
      <c r="CL34" s="213"/>
      <c r="CM34" s="213" t="s">
        <v>43</v>
      </c>
      <c r="CN34" s="213"/>
      <c r="CO34" s="213"/>
      <c r="CP34" s="213" t="s">
        <v>43</v>
      </c>
      <c r="CQ34" s="213"/>
      <c r="CR34" s="213"/>
      <c r="CS34" s="316" t="s">
        <v>43</v>
      </c>
      <c r="CT34" s="316"/>
      <c r="CU34" s="316"/>
      <c r="CV34" s="316" t="s">
        <v>43</v>
      </c>
      <c r="CW34" s="316"/>
      <c r="CX34" s="316"/>
      <c r="CY34" s="316" t="s">
        <v>43</v>
      </c>
      <c r="CZ34" s="316"/>
      <c r="DA34" s="316"/>
      <c r="DB34" s="316" t="s">
        <v>43</v>
      </c>
      <c r="DC34" s="316"/>
      <c r="DD34" s="316"/>
      <c r="DE34" s="324" t="s">
        <v>43</v>
      </c>
      <c r="DF34" s="324"/>
      <c r="DG34" s="324"/>
      <c r="DH34" s="324" t="s">
        <v>43</v>
      </c>
      <c r="DI34" s="324"/>
      <c r="DJ34" s="324"/>
      <c r="DK34" s="332" t="s">
        <v>43</v>
      </c>
      <c r="DL34" s="332"/>
      <c r="DM34" s="332"/>
      <c r="DN34" s="332" t="s">
        <v>43</v>
      </c>
      <c r="DO34" s="332"/>
      <c r="DP34" s="332"/>
      <c r="DQ34" s="332" t="s">
        <v>43</v>
      </c>
      <c r="DR34" s="332"/>
      <c r="DS34" s="332"/>
      <c r="DT34" s="332" t="s">
        <v>43</v>
      </c>
      <c r="DU34" s="332"/>
      <c r="DV34" s="332"/>
      <c r="DW34" s="332" t="s">
        <v>43</v>
      </c>
      <c r="DX34" s="332"/>
      <c r="DY34" s="332"/>
      <c r="DZ34" s="332" t="s">
        <v>43</v>
      </c>
      <c r="EA34" s="332"/>
      <c r="EB34" s="332"/>
      <c r="EC34" s="340" t="s">
        <v>43</v>
      </c>
      <c r="ED34" s="340"/>
      <c r="EE34" s="340"/>
      <c r="EF34" s="340" t="s">
        <v>43</v>
      </c>
      <c r="EG34" s="340"/>
      <c r="EH34" s="340"/>
      <c r="EI34" s="340" t="s">
        <v>43</v>
      </c>
      <c r="EJ34" s="340"/>
      <c r="EK34" s="340"/>
      <c r="EL34" s="340" t="s">
        <v>43</v>
      </c>
      <c r="EM34" s="340"/>
      <c r="EN34" s="340"/>
      <c r="EO34" s="340" t="s">
        <v>43</v>
      </c>
      <c r="EP34" s="340"/>
      <c r="EQ34" s="340"/>
      <c r="ER34" s="340" t="s">
        <v>43</v>
      </c>
      <c r="ES34" s="340"/>
      <c r="ET34" s="340"/>
      <c r="EU34" s="340" t="s">
        <v>43</v>
      </c>
      <c r="EV34" s="340"/>
      <c r="EW34" s="340"/>
    </row>
    <row r="35" spans="1:153" ht="39.950000000000003" customHeight="1">
      <c r="A35" s="10"/>
      <c r="B35" s="10"/>
      <c r="C35" s="10"/>
      <c r="D35" s="10"/>
      <c r="E35" s="10"/>
      <c r="F35" s="10"/>
      <c r="G35" s="10"/>
      <c r="H35" s="10"/>
      <c r="I35" s="46"/>
      <c r="J35" s="60"/>
      <c r="K35" s="8" t="s">
        <v>56</v>
      </c>
      <c r="L35" s="8" t="s">
        <v>40</v>
      </c>
      <c r="M35" s="8" t="s">
        <v>34</v>
      </c>
      <c r="N35" s="8" t="s">
        <v>35</v>
      </c>
      <c r="O35" s="8" t="s">
        <v>36</v>
      </c>
      <c r="P35" s="295" t="s">
        <v>41</v>
      </c>
      <c r="Q35" s="295"/>
      <c r="R35" s="160"/>
      <c r="S35" s="160" t="s">
        <v>37</v>
      </c>
      <c r="T35" s="75" t="s">
        <v>55</v>
      </c>
      <c r="U35" s="160"/>
      <c r="V35" s="160"/>
      <c r="W35" s="160"/>
      <c r="X35" s="160"/>
      <c r="Y35" s="160"/>
      <c r="Z35" s="8"/>
      <c r="AA35" s="295" t="s">
        <v>10</v>
      </c>
      <c r="AB35" s="296"/>
      <c r="AC35" s="160" t="s">
        <v>11</v>
      </c>
      <c r="AD35" s="7" t="s">
        <v>12</v>
      </c>
      <c r="AE35" s="9" t="s">
        <v>26</v>
      </c>
      <c r="AF35" s="9" t="s">
        <v>0</v>
      </c>
      <c r="AG35" s="9" t="s">
        <v>27</v>
      </c>
      <c r="AH35" s="191" t="s">
        <v>26</v>
      </c>
      <c r="AI35" s="191" t="s">
        <v>0</v>
      </c>
      <c r="AJ35" s="191" t="s">
        <v>27</v>
      </c>
      <c r="AK35" s="191" t="s">
        <v>26</v>
      </c>
      <c r="AL35" s="191" t="s">
        <v>0</v>
      </c>
      <c r="AM35" s="191" t="s">
        <v>27</v>
      </c>
      <c r="AN35" s="191" t="s">
        <v>26</v>
      </c>
      <c r="AO35" s="191" t="s">
        <v>0</v>
      </c>
      <c r="AP35" s="191" t="s">
        <v>27</v>
      </c>
      <c r="AQ35" s="191" t="s">
        <v>26</v>
      </c>
      <c r="AR35" s="191" t="s">
        <v>0</v>
      </c>
      <c r="AS35" s="191" t="s">
        <v>27</v>
      </c>
      <c r="AT35" s="191" t="s">
        <v>26</v>
      </c>
      <c r="AU35" s="191" t="s">
        <v>0</v>
      </c>
      <c r="AV35" s="191" t="s">
        <v>27</v>
      </c>
      <c r="AW35" s="191" t="s">
        <v>26</v>
      </c>
      <c r="AX35" s="191" t="s">
        <v>0</v>
      </c>
      <c r="AY35" s="191" t="s">
        <v>27</v>
      </c>
      <c r="AZ35" s="191" t="s">
        <v>26</v>
      </c>
      <c r="BA35" s="191" t="s">
        <v>0</v>
      </c>
      <c r="BB35" s="191" t="s">
        <v>27</v>
      </c>
      <c r="BC35" s="191" t="s">
        <v>26</v>
      </c>
      <c r="BD35" s="191" t="s">
        <v>0</v>
      </c>
      <c r="BE35" s="191" t="s">
        <v>27</v>
      </c>
      <c r="BF35" s="191" t="s">
        <v>26</v>
      </c>
      <c r="BG35" s="191" t="s">
        <v>0</v>
      </c>
      <c r="BH35" s="191" t="s">
        <v>27</v>
      </c>
      <c r="BI35" s="191" t="s">
        <v>26</v>
      </c>
      <c r="BJ35" s="191" t="s">
        <v>0</v>
      </c>
      <c r="BK35" s="191" t="s">
        <v>27</v>
      </c>
      <c r="BL35" s="191" t="s">
        <v>26</v>
      </c>
      <c r="BM35" s="191" t="s">
        <v>0</v>
      </c>
      <c r="BN35" s="191" t="s">
        <v>27</v>
      </c>
      <c r="BO35" s="191" t="s">
        <v>26</v>
      </c>
      <c r="BP35" s="191" t="s">
        <v>0</v>
      </c>
      <c r="BQ35" s="191" t="s">
        <v>27</v>
      </c>
      <c r="BR35" s="191" t="s">
        <v>26</v>
      </c>
      <c r="BS35" s="191" t="s">
        <v>0</v>
      </c>
      <c r="BT35" s="191" t="s">
        <v>27</v>
      </c>
      <c r="BU35" s="194" t="s">
        <v>26</v>
      </c>
      <c r="BV35" s="194" t="s">
        <v>0</v>
      </c>
      <c r="BW35" s="194" t="s">
        <v>27</v>
      </c>
      <c r="BX35" s="191" t="s">
        <v>26</v>
      </c>
      <c r="BY35" s="191" t="s">
        <v>0</v>
      </c>
      <c r="BZ35" s="191" t="s">
        <v>27</v>
      </c>
      <c r="CA35" s="191" t="s">
        <v>26</v>
      </c>
      <c r="CB35" s="191" t="s">
        <v>0</v>
      </c>
      <c r="CC35" s="191" t="s">
        <v>27</v>
      </c>
      <c r="CD35" s="191" t="s">
        <v>26</v>
      </c>
      <c r="CE35" s="191" t="s">
        <v>0</v>
      </c>
      <c r="CF35" s="191" t="s">
        <v>27</v>
      </c>
      <c r="CG35" s="191" t="s">
        <v>26</v>
      </c>
      <c r="CH35" s="191" t="s">
        <v>0</v>
      </c>
      <c r="CI35" s="191" t="s">
        <v>27</v>
      </c>
      <c r="CJ35" s="191" t="s">
        <v>26</v>
      </c>
      <c r="CK35" s="191" t="s">
        <v>0</v>
      </c>
      <c r="CL35" s="191" t="s">
        <v>27</v>
      </c>
      <c r="CM35" s="191" t="s">
        <v>26</v>
      </c>
      <c r="CN35" s="191" t="s">
        <v>0</v>
      </c>
      <c r="CO35" s="191" t="s">
        <v>27</v>
      </c>
      <c r="CP35" s="191" t="s">
        <v>26</v>
      </c>
      <c r="CQ35" s="191" t="s">
        <v>0</v>
      </c>
      <c r="CR35" s="191" t="s">
        <v>27</v>
      </c>
      <c r="CS35" s="195" t="s">
        <v>26</v>
      </c>
      <c r="CT35" s="195" t="s">
        <v>0</v>
      </c>
      <c r="CU35" s="195" t="s">
        <v>27</v>
      </c>
      <c r="CV35" s="195" t="s">
        <v>26</v>
      </c>
      <c r="CW35" s="195" t="s">
        <v>0</v>
      </c>
      <c r="CX35" s="195" t="s">
        <v>27</v>
      </c>
      <c r="CY35" s="195" t="s">
        <v>26</v>
      </c>
      <c r="CZ35" s="195" t="s">
        <v>0</v>
      </c>
      <c r="DA35" s="195" t="s">
        <v>27</v>
      </c>
      <c r="DB35" s="195" t="s">
        <v>26</v>
      </c>
      <c r="DC35" s="195" t="s">
        <v>0</v>
      </c>
      <c r="DD35" s="195" t="s">
        <v>27</v>
      </c>
      <c r="DE35" s="197" t="s">
        <v>26</v>
      </c>
      <c r="DF35" s="197" t="s">
        <v>0</v>
      </c>
      <c r="DG35" s="197" t="s">
        <v>27</v>
      </c>
      <c r="DH35" s="197" t="s">
        <v>26</v>
      </c>
      <c r="DI35" s="197" t="s">
        <v>0</v>
      </c>
      <c r="DJ35" s="197" t="s">
        <v>27</v>
      </c>
      <c r="DK35" s="204" t="s">
        <v>26</v>
      </c>
      <c r="DL35" s="204" t="s">
        <v>0</v>
      </c>
      <c r="DM35" s="204" t="s">
        <v>27</v>
      </c>
      <c r="DN35" s="204" t="s">
        <v>26</v>
      </c>
      <c r="DO35" s="204" t="s">
        <v>0</v>
      </c>
      <c r="DP35" s="204" t="s">
        <v>27</v>
      </c>
      <c r="DQ35" s="204" t="s">
        <v>26</v>
      </c>
      <c r="DR35" s="204" t="s">
        <v>0</v>
      </c>
      <c r="DS35" s="204" t="s">
        <v>27</v>
      </c>
      <c r="DT35" s="204" t="s">
        <v>26</v>
      </c>
      <c r="DU35" s="204" t="s">
        <v>0</v>
      </c>
      <c r="DV35" s="204" t="s">
        <v>27</v>
      </c>
      <c r="DW35" s="204" t="s">
        <v>26</v>
      </c>
      <c r="DX35" s="204" t="s">
        <v>0</v>
      </c>
      <c r="DY35" s="204" t="s">
        <v>27</v>
      </c>
      <c r="DZ35" s="204" t="s">
        <v>26</v>
      </c>
      <c r="EA35" s="204" t="s">
        <v>0</v>
      </c>
      <c r="EB35" s="204" t="s">
        <v>27</v>
      </c>
      <c r="EC35" s="196" t="s">
        <v>26</v>
      </c>
      <c r="ED35" s="196" t="s">
        <v>0</v>
      </c>
      <c r="EE35" s="196" t="s">
        <v>27</v>
      </c>
      <c r="EF35" s="196" t="s">
        <v>26</v>
      </c>
      <c r="EG35" s="196" t="s">
        <v>0</v>
      </c>
      <c r="EH35" s="196" t="s">
        <v>27</v>
      </c>
      <c r="EI35" s="196" t="s">
        <v>26</v>
      </c>
      <c r="EJ35" s="196" t="s">
        <v>0</v>
      </c>
      <c r="EK35" s="196" t="s">
        <v>27</v>
      </c>
      <c r="EL35" s="196" t="s">
        <v>26</v>
      </c>
      <c r="EM35" s="196" t="s">
        <v>0</v>
      </c>
      <c r="EN35" s="196" t="s">
        <v>27</v>
      </c>
      <c r="EO35" s="196" t="s">
        <v>26</v>
      </c>
      <c r="EP35" s="196" t="s">
        <v>0</v>
      </c>
      <c r="EQ35" s="196" t="s">
        <v>27</v>
      </c>
      <c r="ER35" s="196" t="s">
        <v>26</v>
      </c>
      <c r="ES35" s="196" t="s">
        <v>0</v>
      </c>
      <c r="ET35" s="196" t="s">
        <v>27</v>
      </c>
      <c r="EU35" s="196" t="s">
        <v>26</v>
      </c>
      <c r="EV35" s="196" t="s">
        <v>0</v>
      </c>
      <c r="EW35" s="196" t="s">
        <v>27</v>
      </c>
    </row>
    <row r="36" spans="1:153" s="132" customFormat="1" ht="24.95" customHeight="1">
      <c r="I36" s="133"/>
      <c r="J36" s="139"/>
      <c r="K36" s="134">
        <v>1</v>
      </c>
      <c r="L36" s="193" t="s">
        <v>299</v>
      </c>
      <c r="M36" s="135" t="s">
        <v>300</v>
      </c>
      <c r="N36" s="134" t="s">
        <v>301</v>
      </c>
      <c r="O36" s="134" t="s">
        <v>302</v>
      </c>
      <c r="P36" s="240" t="s">
        <v>303</v>
      </c>
      <c r="Q36" s="241"/>
      <c r="R36" s="136"/>
      <c r="S36" s="137" t="s">
        <v>304</v>
      </c>
      <c r="T36" s="135" t="s">
        <v>305</v>
      </c>
      <c r="U36" s="135"/>
      <c r="V36" s="135"/>
      <c r="W36" s="135"/>
      <c r="X36" s="135"/>
      <c r="Y36" s="135"/>
      <c r="Z36" s="135"/>
      <c r="AA36" s="240" t="s">
        <v>306</v>
      </c>
      <c r="AB36" s="241"/>
      <c r="AC36" s="135" t="s">
        <v>307</v>
      </c>
      <c r="AD36" s="134" t="s">
        <v>308</v>
      </c>
      <c r="AE36" s="138" t="s">
        <v>309</v>
      </c>
      <c r="AF36" s="134" t="s">
        <v>310</v>
      </c>
      <c r="AG36" s="134" t="s">
        <v>311</v>
      </c>
      <c r="AH36" s="138" t="s">
        <v>309</v>
      </c>
      <c r="AI36" s="134" t="s">
        <v>310</v>
      </c>
      <c r="AJ36" s="134" t="s">
        <v>311</v>
      </c>
      <c r="AK36" s="138" t="s">
        <v>309</v>
      </c>
      <c r="AL36" s="134" t="s">
        <v>310</v>
      </c>
      <c r="AM36" s="134" t="s">
        <v>311</v>
      </c>
      <c r="AN36" s="138" t="s">
        <v>309</v>
      </c>
      <c r="AO36" s="134" t="s">
        <v>310</v>
      </c>
      <c r="AP36" s="134" t="s">
        <v>311</v>
      </c>
      <c r="AQ36" s="138" t="s">
        <v>309</v>
      </c>
      <c r="AR36" s="134" t="s">
        <v>310</v>
      </c>
      <c r="AS36" s="134" t="s">
        <v>311</v>
      </c>
      <c r="AT36" s="138" t="s">
        <v>309</v>
      </c>
      <c r="AU36" s="134" t="s">
        <v>310</v>
      </c>
      <c r="AV36" s="134" t="s">
        <v>311</v>
      </c>
      <c r="AW36" s="138" t="s">
        <v>309</v>
      </c>
      <c r="AX36" s="134" t="s">
        <v>310</v>
      </c>
      <c r="AY36" s="134" t="s">
        <v>311</v>
      </c>
      <c r="AZ36" s="138" t="s">
        <v>309</v>
      </c>
      <c r="BA36" s="134" t="s">
        <v>310</v>
      </c>
      <c r="BB36" s="134" t="s">
        <v>311</v>
      </c>
      <c r="BC36" s="138" t="s">
        <v>309</v>
      </c>
      <c r="BD36" s="134" t="s">
        <v>310</v>
      </c>
      <c r="BE36" s="134" t="s">
        <v>311</v>
      </c>
      <c r="BF36" s="138" t="s">
        <v>309</v>
      </c>
      <c r="BG36" s="134" t="s">
        <v>310</v>
      </c>
      <c r="BH36" s="134" t="s">
        <v>311</v>
      </c>
      <c r="BI36" s="138" t="s">
        <v>309</v>
      </c>
      <c r="BJ36" s="134" t="s">
        <v>310</v>
      </c>
      <c r="BK36" s="134" t="s">
        <v>311</v>
      </c>
      <c r="BL36" s="138" t="s">
        <v>309</v>
      </c>
      <c r="BM36" s="134" t="s">
        <v>310</v>
      </c>
      <c r="BN36" s="134" t="s">
        <v>311</v>
      </c>
      <c r="BO36" s="138" t="s">
        <v>309</v>
      </c>
      <c r="BP36" s="134" t="s">
        <v>310</v>
      </c>
      <c r="BQ36" s="134" t="s">
        <v>311</v>
      </c>
      <c r="BR36" s="138" t="s">
        <v>309</v>
      </c>
      <c r="BS36" s="134" t="s">
        <v>310</v>
      </c>
      <c r="BT36" s="134" t="s">
        <v>311</v>
      </c>
      <c r="BU36" s="138" t="s">
        <v>309</v>
      </c>
      <c r="BV36" s="134" t="s">
        <v>310</v>
      </c>
      <c r="BW36" s="134" t="s">
        <v>311</v>
      </c>
      <c r="BX36" s="138" t="s">
        <v>309</v>
      </c>
      <c r="BY36" s="134" t="s">
        <v>310</v>
      </c>
      <c r="BZ36" s="134" t="s">
        <v>311</v>
      </c>
      <c r="CA36" s="138" t="s">
        <v>309</v>
      </c>
      <c r="CB36" s="134" t="s">
        <v>310</v>
      </c>
      <c r="CC36" s="134" t="s">
        <v>311</v>
      </c>
      <c r="CD36" s="138" t="s">
        <v>309</v>
      </c>
      <c r="CE36" s="134" t="s">
        <v>310</v>
      </c>
      <c r="CF36" s="134" t="s">
        <v>311</v>
      </c>
      <c r="CG36" s="138" t="s">
        <v>309</v>
      </c>
      <c r="CH36" s="134" t="s">
        <v>310</v>
      </c>
      <c r="CI36" s="134" t="s">
        <v>311</v>
      </c>
      <c r="CJ36" s="138" t="s">
        <v>309</v>
      </c>
      <c r="CK36" s="134" t="s">
        <v>310</v>
      </c>
      <c r="CL36" s="134" t="s">
        <v>311</v>
      </c>
      <c r="CM36" s="138" t="s">
        <v>309</v>
      </c>
      <c r="CN36" s="134" t="s">
        <v>310</v>
      </c>
      <c r="CO36" s="134" t="s">
        <v>311</v>
      </c>
      <c r="CP36" s="138" t="s">
        <v>309</v>
      </c>
      <c r="CQ36" s="134" t="s">
        <v>310</v>
      </c>
      <c r="CR36" s="134" t="s">
        <v>311</v>
      </c>
      <c r="CS36" s="138" t="s">
        <v>309</v>
      </c>
      <c r="CT36" s="134" t="s">
        <v>310</v>
      </c>
      <c r="CU36" s="134" t="s">
        <v>311</v>
      </c>
      <c r="CV36" s="138" t="s">
        <v>309</v>
      </c>
      <c r="CW36" s="134" t="s">
        <v>310</v>
      </c>
      <c r="CX36" s="134" t="s">
        <v>311</v>
      </c>
      <c r="CY36" s="138" t="s">
        <v>309</v>
      </c>
      <c r="CZ36" s="134" t="s">
        <v>310</v>
      </c>
      <c r="DA36" s="134" t="s">
        <v>311</v>
      </c>
      <c r="DB36" s="138" t="s">
        <v>309</v>
      </c>
      <c r="DC36" s="134" t="s">
        <v>310</v>
      </c>
      <c r="DD36" s="134" t="s">
        <v>311</v>
      </c>
      <c r="DE36" s="138" t="s">
        <v>309</v>
      </c>
      <c r="DF36" s="134" t="s">
        <v>310</v>
      </c>
      <c r="DG36" s="134" t="s">
        <v>311</v>
      </c>
      <c r="DH36" s="138" t="s">
        <v>309</v>
      </c>
      <c r="DI36" s="134" t="s">
        <v>310</v>
      </c>
      <c r="DJ36" s="134" t="s">
        <v>311</v>
      </c>
      <c r="DK36" s="138" t="s">
        <v>309</v>
      </c>
      <c r="DL36" s="134" t="s">
        <v>310</v>
      </c>
      <c r="DM36" s="134" t="s">
        <v>311</v>
      </c>
      <c r="DN36" s="138" t="s">
        <v>309</v>
      </c>
      <c r="DO36" s="134" t="s">
        <v>310</v>
      </c>
      <c r="DP36" s="134" t="s">
        <v>311</v>
      </c>
      <c r="DQ36" s="138" t="s">
        <v>309</v>
      </c>
      <c r="DR36" s="134" t="s">
        <v>310</v>
      </c>
      <c r="DS36" s="134" t="s">
        <v>311</v>
      </c>
      <c r="DT36" s="138" t="s">
        <v>309</v>
      </c>
      <c r="DU36" s="134" t="s">
        <v>310</v>
      </c>
      <c r="DV36" s="134" t="s">
        <v>311</v>
      </c>
      <c r="DW36" s="138" t="s">
        <v>309</v>
      </c>
      <c r="DX36" s="134" t="s">
        <v>310</v>
      </c>
      <c r="DY36" s="134" t="s">
        <v>311</v>
      </c>
      <c r="DZ36" s="138" t="s">
        <v>309</v>
      </c>
      <c r="EA36" s="134" t="s">
        <v>310</v>
      </c>
      <c r="EB36" s="134" t="s">
        <v>311</v>
      </c>
      <c r="EC36" s="138" t="s">
        <v>309</v>
      </c>
      <c r="ED36" s="134" t="s">
        <v>310</v>
      </c>
      <c r="EE36" s="134" t="s">
        <v>311</v>
      </c>
      <c r="EF36" s="138" t="s">
        <v>309</v>
      </c>
      <c r="EG36" s="134" t="s">
        <v>310</v>
      </c>
      <c r="EH36" s="134" t="s">
        <v>311</v>
      </c>
      <c r="EI36" s="138" t="s">
        <v>309</v>
      </c>
      <c r="EJ36" s="134" t="s">
        <v>310</v>
      </c>
      <c r="EK36" s="134" t="s">
        <v>311</v>
      </c>
      <c r="EL36" s="138" t="s">
        <v>309</v>
      </c>
      <c r="EM36" s="134" t="s">
        <v>310</v>
      </c>
      <c r="EN36" s="134" t="s">
        <v>311</v>
      </c>
      <c r="EO36" s="138" t="s">
        <v>309</v>
      </c>
      <c r="EP36" s="134" t="s">
        <v>310</v>
      </c>
      <c r="EQ36" s="134" t="s">
        <v>311</v>
      </c>
      <c r="ER36" s="138" t="s">
        <v>309</v>
      </c>
      <c r="ES36" s="134" t="s">
        <v>310</v>
      </c>
      <c r="ET36" s="134" t="s">
        <v>311</v>
      </c>
      <c r="EU36" s="138" t="s">
        <v>309</v>
      </c>
      <c r="EV36" s="134" t="s">
        <v>310</v>
      </c>
      <c r="EW36" s="134" t="s">
        <v>311</v>
      </c>
    </row>
    <row r="37" spans="1:153" s="132" customFormat="1" ht="24.95" customHeight="1">
      <c r="I37" s="133"/>
      <c r="J37" s="139"/>
      <c r="K37" s="134">
        <v>2</v>
      </c>
      <c r="L37" s="193" t="s">
        <v>299</v>
      </c>
      <c r="M37" s="135" t="s">
        <v>300</v>
      </c>
      <c r="N37" s="134" t="s">
        <v>301</v>
      </c>
      <c r="O37" s="134" t="s">
        <v>312</v>
      </c>
      <c r="P37" s="240" t="s">
        <v>303</v>
      </c>
      <c r="Q37" s="241"/>
      <c r="R37" s="136"/>
      <c r="S37" s="137" t="s">
        <v>304</v>
      </c>
      <c r="T37" s="135" t="s">
        <v>305</v>
      </c>
      <c r="U37" s="135"/>
      <c r="V37" s="135"/>
      <c r="W37" s="135"/>
      <c r="X37" s="135"/>
      <c r="Y37" s="135"/>
      <c r="Z37" s="135"/>
      <c r="AA37" s="240" t="s">
        <v>306</v>
      </c>
      <c r="AB37" s="241"/>
      <c r="AC37" s="135" t="s">
        <v>313</v>
      </c>
      <c r="AD37" s="134" t="s">
        <v>314</v>
      </c>
      <c r="AE37" s="138" t="s">
        <v>302</v>
      </c>
      <c r="AF37" s="134" t="s">
        <v>315</v>
      </c>
      <c r="AG37" s="134" t="s">
        <v>311</v>
      </c>
      <c r="AH37" s="138" t="s">
        <v>302</v>
      </c>
      <c r="AI37" s="134" t="s">
        <v>315</v>
      </c>
      <c r="AJ37" s="134" t="s">
        <v>311</v>
      </c>
      <c r="AK37" s="138" t="s">
        <v>302</v>
      </c>
      <c r="AL37" s="134" t="s">
        <v>315</v>
      </c>
      <c r="AM37" s="134" t="s">
        <v>311</v>
      </c>
      <c r="AN37" s="138" t="s">
        <v>302</v>
      </c>
      <c r="AO37" s="134" t="s">
        <v>315</v>
      </c>
      <c r="AP37" s="134" t="s">
        <v>311</v>
      </c>
      <c r="AQ37" s="138" t="s">
        <v>302</v>
      </c>
      <c r="AR37" s="134" t="s">
        <v>315</v>
      </c>
      <c r="AS37" s="134" t="s">
        <v>311</v>
      </c>
      <c r="AT37" s="138" t="s">
        <v>302</v>
      </c>
      <c r="AU37" s="134" t="s">
        <v>315</v>
      </c>
      <c r="AV37" s="134" t="s">
        <v>311</v>
      </c>
      <c r="AW37" s="138" t="s">
        <v>302</v>
      </c>
      <c r="AX37" s="134" t="s">
        <v>315</v>
      </c>
      <c r="AY37" s="134" t="s">
        <v>311</v>
      </c>
      <c r="AZ37" s="138" t="s">
        <v>302</v>
      </c>
      <c r="BA37" s="134" t="s">
        <v>315</v>
      </c>
      <c r="BB37" s="134" t="s">
        <v>311</v>
      </c>
      <c r="BC37" s="138" t="s">
        <v>302</v>
      </c>
      <c r="BD37" s="134" t="s">
        <v>315</v>
      </c>
      <c r="BE37" s="134" t="s">
        <v>311</v>
      </c>
      <c r="BF37" s="138" t="s">
        <v>302</v>
      </c>
      <c r="BG37" s="134" t="s">
        <v>315</v>
      </c>
      <c r="BH37" s="134" t="s">
        <v>311</v>
      </c>
      <c r="BI37" s="138" t="s">
        <v>302</v>
      </c>
      <c r="BJ37" s="134" t="s">
        <v>315</v>
      </c>
      <c r="BK37" s="134" t="s">
        <v>311</v>
      </c>
      <c r="BL37" s="138" t="s">
        <v>302</v>
      </c>
      <c r="BM37" s="134" t="s">
        <v>315</v>
      </c>
      <c r="BN37" s="134" t="s">
        <v>311</v>
      </c>
      <c r="BO37" s="138" t="s">
        <v>302</v>
      </c>
      <c r="BP37" s="134" t="s">
        <v>315</v>
      </c>
      <c r="BQ37" s="134" t="s">
        <v>311</v>
      </c>
      <c r="BR37" s="138" t="s">
        <v>302</v>
      </c>
      <c r="BS37" s="134" t="s">
        <v>315</v>
      </c>
      <c r="BT37" s="134" t="s">
        <v>311</v>
      </c>
      <c r="BU37" s="138" t="s">
        <v>302</v>
      </c>
      <c r="BV37" s="134" t="s">
        <v>315</v>
      </c>
      <c r="BW37" s="134" t="s">
        <v>311</v>
      </c>
      <c r="BX37" s="138" t="s">
        <v>302</v>
      </c>
      <c r="BY37" s="134" t="s">
        <v>315</v>
      </c>
      <c r="BZ37" s="134" t="s">
        <v>311</v>
      </c>
      <c r="CA37" s="138" t="s">
        <v>302</v>
      </c>
      <c r="CB37" s="134" t="s">
        <v>315</v>
      </c>
      <c r="CC37" s="134" t="s">
        <v>311</v>
      </c>
      <c r="CD37" s="138" t="s">
        <v>302</v>
      </c>
      <c r="CE37" s="134" t="s">
        <v>315</v>
      </c>
      <c r="CF37" s="134" t="s">
        <v>311</v>
      </c>
      <c r="CG37" s="138" t="s">
        <v>302</v>
      </c>
      <c r="CH37" s="134" t="s">
        <v>315</v>
      </c>
      <c r="CI37" s="134" t="s">
        <v>311</v>
      </c>
      <c r="CJ37" s="138" t="s">
        <v>302</v>
      </c>
      <c r="CK37" s="134" t="s">
        <v>315</v>
      </c>
      <c r="CL37" s="134" t="s">
        <v>311</v>
      </c>
      <c r="CM37" s="138" t="s">
        <v>302</v>
      </c>
      <c r="CN37" s="134" t="s">
        <v>315</v>
      </c>
      <c r="CO37" s="134" t="s">
        <v>311</v>
      </c>
      <c r="CP37" s="138" t="s">
        <v>302</v>
      </c>
      <c r="CQ37" s="134" t="s">
        <v>315</v>
      </c>
      <c r="CR37" s="134" t="s">
        <v>311</v>
      </c>
      <c r="CS37" s="138" t="s">
        <v>302</v>
      </c>
      <c r="CT37" s="134" t="s">
        <v>315</v>
      </c>
      <c r="CU37" s="134" t="s">
        <v>311</v>
      </c>
      <c r="CV37" s="138" t="s">
        <v>302</v>
      </c>
      <c r="CW37" s="134" t="s">
        <v>315</v>
      </c>
      <c r="CX37" s="134" t="s">
        <v>311</v>
      </c>
      <c r="CY37" s="138" t="s">
        <v>302</v>
      </c>
      <c r="CZ37" s="134" t="s">
        <v>315</v>
      </c>
      <c r="DA37" s="134" t="s">
        <v>311</v>
      </c>
      <c r="DB37" s="138" t="s">
        <v>302</v>
      </c>
      <c r="DC37" s="134" t="s">
        <v>315</v>
      </c>
      <c r="DD37" s="134" t="s">
        <v>311</v>
      </c>
      <c r="DE37" s="138" t="s">
        <v>302</v>
      </c>
      <c r="DF37" s="134" t="s">
        <v>315</v>
      </c>
      <c r="DG37" s="134" t="s">
        <v>311</v>
      </c>
      <c r="DH37" s="138" t="s">
        <v>302</v>
      </c>
      <c r="DI37" s="134" t="s">
        <v>315</v>
      </c>
      <c r="DJ37" s="134" t="s">
        <v>311</v>
      </c>
      <c r="DK37" s="138" t="s">
        <v>302</v>
      </c>
      <c r="DL37" s="134" t="s">
        <v>315</v>
      </c>
      <c r="DM37" s="134" t="s">
        <v>311</v>
      </c>
      <c r="DN37" s="138" t="s">
        <v>302</v>
      </c>
      <c r="DO37" s="134" t="s">
        <v>315</v>
      </c>
      <c r="DP37" s="134" t="s">
        <v>311</v>
      </c>
      <c r="DQ37" s="138" t="s">
        <v>302</v>
      </c>
      <c r="DR37" s="134" t="s">
        <v>315</v>
      </c>
      <c r="DS37" s="134" t="s">
        <v>311</v>
      </c>
      <c r="DT37" s="138" t="s">
        <v>302</v>
      </c>
      <c r="DU37" s="134" t="s">
        <v>315</v>
      </c>
      <c r="DV37" s="134" t="s">
        <v>311</v>
      </c>
      <c r="DW37" s="138" t="s">
        <v>302</v>
      </c>
      <c r="DX37" s="134" t="s">
        <v>315</v>
      </c>
      <c r="DY37" s="134" t="s">
        <v>311</v>
      </c>
      <c r="DZ37" s="138" t="s">
        <v>302</v>
      </c>
      <c r="EA37" s="134" t="s">
        <v>315</v>
      </c>
      <c r="EB37" s="134" t="s">
        <v>311</v>
      </c>
      <c r="EC37" s="138" t="s">
        <v>302</v>
      </c>
      <c r="ED37" s="134" t="s">
        <v>315</v>
      </c>
      <c r="EE37" s="134" t="s">
        <v>311</v>
      </c>
      <c r="EF37" s="138" t="s">
        <v>302</v>
      </c>
      <c r="EG37" s="134" t="s">
        <v>315</v>
      </c>
      <c r="EH37" s="134" t="s">
        <v>311</v>
      </c>
      <c r="EI37" s="138" t="s">
        <v>302</v>
      </c>
      <c r="EJ37" s="134" t="s">
        <v>315</v>
      </c>
      <c r="EK37" s="134" t="s">
        <v>311</v>
      </c>
      <c r="EL37" s="138" t="s">
        <v>302</v>
      </c>
      <c r="EM37" s="134" t="s">
        <v>315</v>
      </c>
      <c r="EN37" s="134" t="s">
        <v>311</v>
      </c>
      <c r="EO37" s="138" t="s">
        <v>302</v>
      </c>
      <c r="EP37" s="134" t="s">
        <v>315</v>
      </c>
      <c r="EQ37" s="134" t="s">
        <v>311</v>
      </c>
      <c r="ER37" s="138" t="s">
        <v>302</v>
      </c>
      <c r="ES37" s="134" t="s">
        <v>315</v>
      </c>
      <c r="ET37" s="134" t="s">
        <v>311</v>
      </c>
      <c r="EU37" s="138" t="s">
        <v>302</v>
      </c>
      <c r="EV37" s="134" t="s">
        <v>315</v>
      </c>
      <c r="EW37" s="134" t="s">
        <v>311</v>
      </c>
    </row>
    <row r="38" spans="1:153" s="132" customFormat="1" ht="24.95" customHeight="1">
      <c r="I38" s="133"/>
      <c r="J38" s="139"/>
      <c r="K38" s="134">
        <v>3</v>
      </c>
      <c r="L38" s="193" t="s">
        <v>299</v>
      </c>
      <c r="M38" s="135" t="s">
        <v>300</v>
      </c>
      <c r="N38" s="134" t="s">
        <v>301</v>
      </c>
      <c r="O38" s="134" t="s">
        <v>312</v>
      </c>
      <c r="P38" s="240" t="s">
        <v>303</v>
      </c>
      <c r="Q38" s="241"/>
      <c r="R38" s="136"/>
      <c r="S38" s="137" t="s">
        <v>316</v>
      </c>
      <c r="T38" s="135" t="s">
        <v>305</v>
      </c>
      <c r="U38" s="135"/>
      <c r="V38" s="135"/>
      <c r="W38" s="135"/>
      <c r="X38" s="135"/>
      <c r="Y38" s="135"/>
      <c r="Z38" s="135"/>
      <c r="AA38" s="240" t="s">
        <v>317</v>
      </c>
      <c r="AB38" s="241"/>
      <c r="AC38" s="135" t="s">
        <v>318</v>
      </c>
      <c r="AD38" s="134" t="s">
        <v>319</v>
      </c>
      <c r="AE38" s="138" t="s">
        <v>302</v>
      </c>
      <c r="AF38" s="134" t="s">
        <v>320</v>
      </c>
      <c r="AG38" s="134" t="s">
        <v>311</v>
      </c>
      <c r="AH38" s="138" t="s">
        <v>302</v>
      </c>
      <c r="AI38" s="134" t="s">
        <v>320</v>
      </c>
      <c r="AJ38" s="134" t="s">
        <v>311</v>
      </c>
      <c r="AK38" s="138" t="s">
        <v>302</v>
      </c>
      <c r="AL38" s="134" t="s">
        <v>320</v>
      </c>
      <c r="AM38" s="134" t="s">
        <v>311</v>
      </c>
      <c r="AN38" s="138" t="s">
        <v>302</v>
      </c>
      <c r="AO38" s="134" t="s">
        <v>320</v>
      </c>
      <c r="AP38" s="134" t="s">
        <v>311</v>
      </c>
      <c r="AQ38" s="138" t="s">
        <v>302</v>
      </c>
      <c r="AR38" s="134" t="s">
        <v>320</v>
      </c>
      <c r="AS38" s="134" t="s">
        <v>311</v>
      </c>
      <c r="AT38" s="138" t="s">
        <v>302</v>
      </c>
      <c r="AU38" s="134" t="s">
        <v>320</v>
      </c>
      <c r="AV38" s="134" t="s">
        <v>311</v>
      </c>
      <c r="AW38" s="138" t="s">
        <v>302</v>
      </c>
      <c r="AX38" s="134" t="s">
        <v>320</v>
      </c>
      <c r="AY38" s="134" t="s">
        <v>311</v>
      </c>
      <c r="AZ38" s="138" t="s">
        <v>302</v>
      </c>
      <c r="BA38" s="134" t="s">
        <v>320</v>
      </c>
      <c r="BB38" s="134" t="s">
        <v>311</v>
      </c>
      <c r="BC38" s="138" t="s">
        <v>302</v>
      </c>
      <c r="BD38" s="134" t="s">
        <v>320</v>
      </c>
      <c r="BE38" s="134" t="s">
        <v>311</v>
      </c>
      <c r="BF38" s="138" t="s">
        <v>302</v>
      </c>
      <c r="BG38" s="134" t="s">
        <v>320</v>
      </c>
      <c r="BH38" s="134" t="s">
        <v>311</v>
      </c>
      <c r="BI38" s="138" t="s">
        <v>302</v>
      </c>
      <c r="BJ38" s="134" t="s">
        <v>320</v>
      </c>
      <c r="BK38" s="134" t="s">
        <v>311</v>
      </c>
      <c r="BL38" s="138" t="s">
        <v>302</v>
      </c>
      <c r="BM38" s="134" t="s">
        <v>320</v>
      </c>
      <c r="BN38" s="134" t="s">
        <v>311</v>
      </c>
      <c r="BO38" s="138" t="s">
        <v>302</v>
      </c>
      <c r="BP38" s="134" t="s">
        <v>320</v>
      </c>
      <c r="BQ38" s="134" t="s">
        <v>311</v>
      </c>
      <c r="BR38" s="138" t="s">
        <v>302</v>
      </c>
      <c r="BS38" s="134" t="s">
        <v>320</v>
      </c>
      <c r="BT38" s="134" t="s">
        <v>311</v>
      </c>
      <c r="BU38" s="138" t="s">
        <v>302</v>
      </c>
      <c r="BV38" s="134" t="s">
        <v>320</v>
      </c>
      <c r="BW38" s="134" t="s">
        <v>311</v>
      </c>
      <c r="BX38" s="138" t="s">
        <v>302</v>
      </c>
      <c r="BY38" s="134" t="s">
        <v>320</v>
      </c>
      <c r="BZ38" s="134" t="s">
        <v>311</v>
      </c>
      <c r="CA38" s="138" t="s">
        <v>302</v>
      </c>
      <c r="CB38" s="134" t="s">
        <v>320</v>
      </c>
      <c r="CC38" s="134" t="s">
        <v>311</v>
      </c>
      <c r="CD38" s="138" t="s">
        <v>302</v>
      </c>
      <c r="CE38" s="134" t="s">
        <v>320</v>
      </c>
      <c r="CF38" s="134" t="s">
        <v>311</v>
      </c>
      <c r="CG38" s="138" t="s">
        <v>302</v>
      </c>
      <c r="CH38" s="134" t="s">
        <v>320</v>
      </c>
      <c r="CI38" s="134" t="s">
        <v>311</v>
      </c>
      <c r="CJ38" s="138" t="s">
        <v>302</v>
      </c>
      <c r="CK38" s="134" t="s">
        <v>320</v>
      </c>
      <c r="CL38" s="134" t="s">
        <v>311</v>
      </c>
      <c r="CM38" s="138" t="s">
        <v>302</v>
      </c>
      <c r="CN38" s="134" t="s">
        <v>320</v>
      </c>
      <c r="CO38" s="134" t="s">
        <v>311</v>
      </c>
      <c r="CP38" s="138" t="s">
        <v>302</v>
      </c>
      <c r="CQ38" s="134" t="s">
        <v>320</v>
      </c>
      <c r="CR38" s="134" t="s">
        <v>311</v>
      </c>
      <c r="CS38" s="138" t="s">
        <v>302</v>
      </c>
      <c r="CT38" s="134" t="s">
        <v>320</v>
      </c>
      <c r="CU38" s="134" t="s">
        <v>311</v>
      </c>
      <c r="CV38" s="138" t="s">
        <v>302</v>
      </c>
      <c r="CW38" s="134" t="s">
        <v>320</v>
      </c>
      <c r="CX38" s="134" t="s">
        <v>311</v>
      </c>
      <c r="CY38" s="138" t="s">
        <v>302</v>
      </c>
      <c r="CZ38" s="134" t="s">
        <v>320</v>
      </c>
      <c r="DA38" s="134" t="s">
        <v>311</v>
      </c>
      <c r="DB38" s="138" t="s">
        <v>302</v>
      </c>
      <c r="DC38" s="134" t="s">
        <v>320</v>
      </c>
      <c r="DD38" s="134" t="s">
        <v>311</v>
      </c>
      <c r="DE38" s="138" t="s">
        <v>302</v>
      </c>
      <c r="DF38" s="134" t="s">
        <v>320</v>
      </c>
      <c r="DG38" s="134" t="s">
        <v>311</v>
      </c>
      <c r="DH38" s="138" t="s">
        <v>302</v>
      </c>
      <c r="DI38" s="134" t="s">
        <v>320</v>
      </c>
      <c r="DJ38" s="134" t="s">
        <v>311</v>
      </c>
      <c r="DK38" s="138" t="s">
        <v>302</v>
      </c>
      <c r="DL38" s="134" t="s">
        <v>320</v>
      </c>
      <c r="DM38" s="134" t="s">
        <v>311</v>
      </c>
      <c r="DN38" s="138" t="s">
        <v>302</v>
      </c>
      <c r="DO38" s="134" t="s">
        <v>320</v>
      </c>
      <c r="DP38" s="134" t="s">
        <v>311</v>
      </c>
      <c r="DQ38" s="138" t="s">
        <v>302</v>
      </c>
      <c r="DR38" s="134" t="s">
        <v>320</v>
      </c>
      <c r="DS38" s="134" t="s">
        <v>311</v>
      </c>
      <c r="DT38" s="138" t="s">
        <v>302</v>
      </c>
      <c r="DU38" s="134" t="s">
        <v>320</v>
      </c>
      <c r="DV38" s="134" t="s">
        <v>311</v>
      </c>
      <c r="DW38" s="138" t="s">
        <v>302</v>
      </c>
      <c r="DX38" s="134" t="s">
        <v>320</v>
      </c>
      <c r="DY38" s="134" t="s">
        <v>311</v>
      </c>
      <c r="DZ38" s="138" t="s">
        <v>302</v>
      </c>
      <c r="EA38" s="134" t="s">
        <v>320</v>
      </c>
      <c r="EB38" s="134" t="s">
        <v>311</v>
      </c>
      <c r="EC38" s="138" t="s">
        <v>302</v>
      </c>
      <c r="ED38" s="134" t="s">
        <v>320</v>
      </c>
      <c r="EE38" s="134" t="s">
        <v>311</v>
      </c>
      <c r="EF38" s="138" t="s">
        <v>302</v>
      </c>
      <c r="EG38" s="134" t="s">
        <v>320</v>
      </c>
      <c r="EH38" s="134" t="s">
        <v>311</v>
      </c>
      <c r="EI38" s="138" t="s">
        <v>302</v>
      </c>
      <c r="EJ38" s="134" t="s">
        <v>320</v>
      </c>
      <c r="EK38" s="134" t="s">
        <v>311</v>
      </c>
      <c r="EL38" s="138" t="s">
        <v>302</v>
      </c>
      <c r="EM38" s="134" t="s">
        <v>320</v>
      </c>
      <c r="EN38" s="134" t="s">
        <v>311</v>
      </c>
      <c r="EO38" s="138" t="s">
        <v>302</v>
      </c>
      <c r="EP38" s="134" t="s">
        <v>320</v>
      </c>
      <c r="EQ38" s="134" t="s">
        <v>311</v>
      </c>
      <c r="ER38" s="138" t="s">
        <v>302</v>
      </c>
      <c r="ES38" s="134" t="s">
        <v>320</v>
      </c>
      <c r="ET38" s="134" t="s">
        <v>311</v>
      </c>
      <c r="EU38" s="138" t="s">
        <v>302</v>
      </c>
      <c r="EV38" s="134" t="s">
        <v>320</v>
      </c>
      <c r="EW38" s="134" t="s">
        <v>311</v>
      </c>
    </row>
    <row r="39" spans="1:153" s="132" customFormat="1" ht="24.95" customHeight="1">
      <c r="I39" s="133"/>
      <c r="J39" s="139"/>
      <c r="K39" s="134">
        <v>4</v>
      </c>
      <c r="L39" s="193" t="s">
        <v>299</v>
      </c>
      <c r="M39" s="135" t="s">
        <v>300</v>
      </c>
      <c r="N39" s="134" t="s">
        <v>301</v>
      </c>
      <c r="O39" s="134" t="s">
        <v>312</v>
      </c>
      <c r="P39" s="240" t="s">
        <v>303</v>
      </c>
      <c r="Q39" s="241"/>
      <c r="R39" s="136"/>
      <c r="S39" s="137" t="s">
        <v>316</v>
      </c>
      <c r="T39" s="135" t="s">
        <v>305</v>
      </c>
      <c r="U39" s="135"/>
      <c r="V39" s="135"/>
      <c r="W39" s="135"/>
      <c r="X39" s="135"/>
      <c r="Y39" s="135"/>
      <c r="Z39" s="135"/>
      <c r="AA39" s="240" t="s">
        <v>317</v>
      </c>
      <c r="AB39" s="241"/>
      <c r="AC39" s="135" t="s">
        <v>321</v>
      </c>
      <c r="AD39" s="134" t="s">
        <v>322</v>
      </c>
      <c r="AE39" s="138" t="s">
        <v>309</v>
      </c>
      <c r="AF39" s="134" t="s">
        <v>323</v>
      </c>
      <c r="AG39" s="134" t="s">
        <v>311</v>
      </c>
      <c r="AH39" s="138" t="s">
        <v>309</v>
      </c>
      <c r="AI39" s="134" t="s">
        <v>323</v>
      </c>
      <c r="AJ39" s="134" t="s">
        <v>311</v>
      </c>
      <c r="AK39" s="138" t="s">
        <v>309</v>
      </c>
      <c r="AL39" s="134" t="s">
        <v>323</v>
      </c>
      <c r="AM39" s="134" t="s">
        <v>311</v>
      </c>
      <c r="AN39" s="138" t="s">
        <v>309</v>
      </c>
      <c r="AO39" s="134" t="s">
        <v>323</v>
      </c>
      <c r="AP39" s="134" t="s">
        <v>311</v>
      </c>
      <c r="AQ39" s="138" t="s">
        <v>309</v>
      </c>
      <c r="AR39" s="134" t="s">
        <v>323</v>
      </c>
      <c r="AS39" s="134" t="s">
        <v>311</v>
      </c>
      <c r="AT39" s="138" t="s">
        <v>309</v>
      </c>
      <c r="AU39" s="134" t="s">
        <v>323</v>
      </c>
      <c r="AV39" s="134" t="s">
        <v>311</v>
      </c>
      <c r="AW39" s="138" t="s">
        <v>309</v>
      </c>
      <c r="AX39" s="134" t="s">
        <v>323</v>
      </c>
      <c r="AY39" s="134" t="s">
        <v>311</v>
      </c>
      <c r="AZ39" s="138" t="s">
        <v>309</v>
      </c>
      <c r="BA39" s="134" t="s">
        <v>323</v>
      </c>
      <c r="BB39" s="134" t="s">
        <v>311</v>
      </c>
      <c r="BC39" s="138" t="s">
        <v>309</v>
      </c>
      <c r="BD39" s="134" t="s">
        <v>323</v>
      </c>
      <c r="BE39" s="134" t="s">
        <v>311</v>
      </c>
      <c r="BF39" s="138" t="s">
        <v>309</v>
      </c>
      <c r="BG39" s="134" t="s">
        <v>323</v>
      </c>
      <c r="BH39" s="134" t="s">
        <v>311</v>
      </c>
      <c r="BI39" s="138" t="s">
        <v>309</v>
      </c>
      <c r="BJ39" s="134" t="s">
        <v>323</v>
      </c>
      <c r="BK39" s="134" t="s">
        <v>311</v>
      </c>
      <c r="BL39" s="138" t="s">
        <v>309</v>
      </c>
      <c r="BM39" s="134" t="s">
        <v>323</v>
      </c>
      <c r="BN39" s="134" t="s">
        <v>311</v>
      </c>
      <c r="BO39" s="138" t="s">
        <v>309</v>
      </c>
      <c r="BP39" s="134" t="s">
        <v>323</v>
      </c>
      <c r="BQ39" s="134" t="s">
        <v>311</v>
      </c>
      <c r="BR39" s="138" t="s">
        <v>309</v>
      </c>
      <c r="BS39" s="134" t="s">
        <v>323</v>
      </c>
      <c r="BT39" s="134" t="s">
        <v>311</v>
      </c>
      <c r="BU39" s="138" t="s">
        <v>309</v>
      </c>
      <c r="BV39" s="134" t="s">
        <v>323</v>
      </c>
      <c r="BW39" s="134" t="s">
        <v>311</v>
      </c>
      <c r="BX39" s="138" t="s">
        <v>309</v>
      </c>
      <c r="BY39" s="134" t="s">
        <v>323</v>
      </c>
      <c r="BZ39" s="134" t="s">
        <v>311</v>
      </c>
      <c r="CA39" s="138" t="s">
        <v>309</v>
      </c>
      <c r="CB39" s="134" t="s">
        <v>323</v>
      </c>
      <c r="CC39" s="134" t="s">
        <v>311</v>
      </c>
      <c r="CD39" s="138" t="s">
        <v>309</v>
      </c>
      <c r="CE39" s="134" t="s">
        <v>323</v>
      </c>
      <c r="CF39" s="134" t="s">
        <v>311</v>
      </c>
      <c r="CG39" s="138" t="s">
        <v>309</v>
      </c>
      <c r="CH39" s="134" t="s">
        <v>323</v>
      </c>
      <c r="CI39" s="134" t="s">
        <v>311</v>
      </c>
      <c r="CJ39" s="138" t="s">
        <v>309</v>
      </c>
      <c r="CK39" s="134" t="s">
        <v>323</v>
      </c>
      <c r="CL39" s="134" t="s">
        <v>311</v>
      </c>
      <c r="CM39" s="138" t="s">
        <v>309</v>
      </c>
      <c r="CN39" s="134" t="s">
        <v>323</v>
      </c>
      <c r="CO39" s="134" t="s">
        <v>311</v>
      </c>
      <c r="CP39" s="138" t="s">
        <v>309</v>
      </c>
      <c r="CQ39" s="134" t="s">
        <v>323</v>
      </c>
      <c r="CR39" s="134" t="s">
        <v>311</v>
      </c>
      <c r="CS39" s="138" t="s">
        <v>309</v>
      </c>
      <c r="CT39" s="134" t="s">
        <v>323</v>
      </c>
      <c r="CU39" s="134" t="s">
        <v>311</v>
      </c>
      <c r="CV39" s="138" t="s">
        <v>309</v>
      </c>
      <c r="CW39" s="134" t="s">
        <v>323</v>
      </c>
      <c r="CX39" s="134" t="s">
        <v>311</v>
      </c>
      <c r="CY39" s="138" t="s">
        <v>309</v>
      </c>
      <c r="CZ39" s="134" t="s">
        <v>323</v>
      </c>
      <c r="DA39" s="134" t="s">
        <v>311</v>
      </c>
      <c r="DB39" s="138" t="s">
        <v>309</v>
      </c>
      <c r="DC39" s="134" t="s">
        <v>323</v>
      </c>
      <c r="DD39" s="134" t="s">
        <v>311</v>
      </c>
      <c r="DE39" s="138" t="s">
        <v>309</v>
      </c>
      <c r="DF39" s="134" t="s">
        <v>323</v>
      </c>
      <c r="DG39" s="134" t="s">
        <v>311</v>
      </c>
      <c r="DH39" s="138" t="s">
        <v>309</v>
      </c>
      <c r="DI39" s="134" t="s">
        <v>323</v>
      </c>
      <c r="DJ39" s="134" t="s">
        <v>311</v>
      </c>
      <c r="DK39" s="138" t="s">
        <v>309</v>
      </c>
      <c r="DL39" s="134" t="s">
        <v>323</v>
      </c>
      <c r="DM39" s="134" t="s">
        <v>311</v>
      </c>
      <c r="DN39" s="138" t="s">
        <v>309</v>
      </c>
      <c r="DO39" s="134" t="s">
        <v>323</v>
      </c>
      <c r="DP39" s="134" t="s">
        <v>311</v>
      </c>
      <c r="DQ39" s="138" t="s">
        <v>309</v>
      </c>
      <c r="DR39" s="134" t="s">
        <v>323</v>
      </c>
      <c r="DS39" s="134" t="s">
        <v>311</v>
      </c>
      <c r="DT39" s="138" t="s">
        <v>309</v>
      </c>
      <c r="DU39" s="134" t="s">
        <v>323</v>
      </c>
      <c r="DV39" s="134" t="s">
        <v>311</v>
      </c>
      <c r="DW39" s="138" t="s">
        <v>309</v>
      </c>
      <c r="DX39" s="134" t="s">
        <v>323</v>
      </c>
      <c r="DY39" s="134" t="s">
        <v>311</v>
      </c>
      <c r="DZ39" s="138" t="s">
        <v>309</v>
      </c>
      <c r="EA39" s="134" t="s">
        <v>323</v>
      </c>
      <c r="EB39" s="134" t="s">
        <v>311</v>
      </c>
      <c r="EC39" s="138" t="s">
        <v>309</v>
      </c>
      <c r="ED39" s="134" t="s">
        <v>323</v>
      </c>
      <c r="EE39" s="134" t="s">
        <v>311</v>
      </c>
      <c r="EF39" s="138" t="s">
        <v>309</v>
      </c>
      <c r="EG39" s="134" t="s">
        <v>323</v>
      </c>
      <c r="EH39" s="134" t="s">
        <v>311</v>
      </c>
      <c r="EI39" s="138" t="s">
        <v>309</v>
      </c>
      <c r="EJ39" s="134" t="s">
        <v>323</v>
      </c>
      <c r="EK39" s="134" t="s">
        <v>311</v>
      </c>
      <c r="EL39" s="138" t="s">
        <v>309</v>
      </c>
      <c r="EM39" s="134" t="s">
        <v>323</v>
      </c>
      <c r="EN39" s="134" t="s">
        <v>311</v>
      </c>
      <c r="EO39" s="138" t="s">
        <v>309</v>
      </c>
      <c r="EP39" s="134" t="s">
        <v>323</v>
      </c>
      <c r="EQ39" s="134" t="s">
        <v>311</v>
      </c>
      <c r="ER39" s="138" t="s">
        <v>309</v>
      </c>
      <c r="ES39" s="134" t="s">
        <v>323</v>
      </c>
      <c r="ET39" s="134" t="s">
        <v>311</v>
      </c>
      <c r="EU39" s="138" t="s">
        <v>309</v>
      </c>
      <c r="EV39" s="134" t="s">
        <v>323</v>
      </c>
      <c r="EW39" s="134" t="s">
        <v>311</v>
      </c>
    </row>
    <row r="40" spans="1:153" s="132" customFormat="1" ht="24.95" customHeight="1">
      <c r="I40" s="133"/>
      <c r="J40" s="139"/>
      <c r="K40" s="134">
        <v>5</v>
      </c>
      <c r="L40" s="193" t="s">
        <v>299</v>
      </c>
      <c r="M40" s="135" t="s">
        <v>300</v>
      </c>
      <c r="N40" s="134" t="s">
        <v>301</v>
      </c>
      <c r="O40" s="134" t="s">
        <v>302</v>
      </c>
      <c r="P40" s="240" t="s">
        <v>303</v>
      </c>
      <c r="Q40" s="241"/>
      <c r="R40" s="136"/>
      <c r="S40" s="137" t="s">
        <v>304</v>
      </c>
      <c r="T40" s="135" t="s">
        <v>305</v>
      </c>
      <c r="U40" s="135"/>
      <c r="V40" s="135"/>
      <c r="W40" s="135"/>
      <c r="X40" s="135"/>
      <c r="Y40" s="135"/>
      <c r="Z40" s="135"/>
      <c r="AA40" s="240" t="s">
        <v>306</v>
      </c>
      <c r="AB40" s="241"/>
      <c r="AC40" s="135" t="s">
        <v>324</v>
      </c>
      <c r="AD40" s="134" t="s">
        <v>325</v>
      </c>
      <c r="AE40" s="138" t="s">
        <v>309</v>
      </c>
      <c r="AF40" s="134" t="s">
        <v>326</v>
      </c>
      <c r="AG40" s="134" t="s">
        <v>311</v>
      </c>
      <c r="AH40" s="138" t="s">
        <v>309</v>
      </c>
      <c r="AI40" s="134" t="s">
        <v>326</v>
      </c>
      <c r="AJ40" s="134" t="s">
        <v>311</v>
      </c>
      <c r="AK40" s="138" t="s">
        <v>309</v>
      </c>
      <c r="AL40" s="134" t="s">
        <v>326</v>
      </c>
      <c r="AM40" s="134" t="s">
        <v>311</v>
      </c>
      <c r="AN40" s="138" t="s">
        <v>309</v>
      </c>
      <c r="AO40" s="134" t="s">
        <v>326</v>
      </c>
      <c r="AP40" s="134" t="s">
        <v>311</v>
      </c>
      <c r="AQ40" s="138" t="s">
        <v>309</v>
      </c>
      <c r="AR40" s="134" t="s">
        <v>326</v>
      </c>
      <c r="AS40" s="134" t="s">
        <v>311</v>
      </c>
      <c r="AT40" s="138" t="s">
        <v>309</v>
      </c>
      <c r="AU40" s="134" t="s">
        <v>326</v>
      </c>
      <c r="AV40" s="134" t="s">
        <v>311</v>
      </c>
      <c r="AW40" s="138" t="s">
        <v>309</v>
      </c>
      <c r="AX40" s="134" t="s">
        <v>326</v>
      </c>
      <c r="AY40" s="134" t="s">
        <v>311</v>
      </c>
      <c r="AZ40" s="138" t="s">
        <v>309</v>
      </c>
      <c r="BA40" s="134" t="s">
        <v>326</v>
      </c>
      <c r="BB40" s="134" t="s">
        <v>311</v>
      </c>
      <c r="BC40" s="138" t="s">
        <v>309</v>
      </c>
      <c r="BD40" s="134" t="s">
        <v>326</v>
      </c>
      <c r="BE40" s="134" t="s">
        <v>311</v>
      </c>
      <c r="BF40" s="138" t="s">
        <v>309</v>
      </c>
      <c r="BG40" s="134" t="s">
        <v>326</v>
      </c>
      <c r="BH40" s="134" t="s">
        <v>311</v>
      </c>
      <c r="BI40" s="138" t="s">
        <v>309</v>
      </c>
      <c r="BJ40" s="134" t="s">
        <v>326</v>
      </c>
      <c r="BK40" s="134" t="s">
        <v>311</v>
      </c>
      <c r="BL40" s="138" t="s">
        <v>309</v>
      </c>
      <c r="BM40" s="134" t="s">
        <v>326</v>
      </c>
      <c r="BN40" s="134" t="s">
        <v>311</v>
      </c>
      <c r="BO40" s="138" t="s">
        <v>309</v>
      </c>
      <c r="BP40" s="134" t="s">
        <v>326</v>
      </c>
      <c r="BQ40" s="134" t="s">
        <v>311</v>
      </c>
      <c r="BR40" s="138" t="s">
        <v>309</v>
      </c>
      <c r="BS40" s="134" t="s">
        <v>326</v>
      </c>
      <c r="BT40" s="134" t="s">
        <v>311</v>
      </c>
      <c r="BU40" s="138" t="s">
        <v>309</v>
      </c>
      <c r="BV40" s="134" t="s">
        <v>326</v>
      </c>
      <c r="BW40" s="134" t="s">
        <v>311</v>
      </c>
      <c r="BX40" s="138" t="s">
        <v>309</v>
      </c>
      <c r="BY40" s="134" t="s">
        <v>326</v>
      </c>
      <c r="BZ40" s="134" t="s">
        <v>311</v>
      </c>
      <c r="CA40" s="138" t="s">
        <v>309</v>
      </c>
      <c r="CB40" s="134" t="s">
        <v>326</v>
      </c>
      <c r="CC40" s="134" t="s">
        <v>311</v>
      </c>
      <c r="CD40" s="138" t="s">
        <v>309</v>
      </c>
      <c r="CE40" s="134" t="s">
        <v>326</v>
      </c>
      <c r="CF40" s="134" t="s">
        <v>311</v>
      </c>
      <c r="CG40" s="138" t="s">
        <v>309</v>
      </c>
      <c r="CH40" s="134" t="s">
        <v>326</v>
      </c>
      <c r="CI40" s="134" t="s">
        <v>311</v>
      </c>
      <c r="CJ40" s="138" t="s">
        <v>309</v>
      </c>
      <c r="CK40" s="134" t="s">
        <v>326</v>
      </c>
      <c r="CL40" s="134" t="s">
        <v>311</v>
      </c>
      <c r="CM40" s="138" t="s">
        <v>309</v>
      </c>
      <c r="CN40" s="134" t="s">
        <v>326</v>
      </c>
      <c r="CO40" s="134" t="s">
        <v>311</v>
      </c>
      <c r="CP40" s="138" t="s">
        <v>309</v>
      </c>
      <c r="CQ40" s="134" t="s">
        <v>326</v>
      </c>
      <c r="CR40" s="134" t="s">
        <v>311</v>
      </c>
      <c r="CS40" s="138" t="s">
        <v>309</v>
      </c>
      <c r="CT40" s="134" t="s">
        <v>326</v>
      </c>
      <c r="CU40" s="134" t="s">
        <v>311</v>
      </c>
      <c r="CV40" s="138" t="s">
        <v>309</v>
      </c>
      <c r="CW40" s="134" t="s">
        <v>326</v>
      </c>
      <c r="CX40" s="134" t="s">
        <v>311</v>
      </c>
      <c r="CY40" s="138" t="s">
        <v>309</v>
      </c>
      <c r="CZ40" s="134" t="s">
        <v>326</v>
      </c>
      <c r="DA40" s="134" t="s">
        <v>311</v>
      </c>
      <c r="DB40" s="138" t="s">
        <v>309</v>
      </c>
      <c r="DC40" s="134" t="s">
        <v>326</v>
      </c>
      <c r="DD40" s="134" t="s">
        <v>311</v>
      </c>
      <c r="DE40" s="138" t="s">
        <v>309</v>
      </c>
      <c r="DF40" s="134" t="s">
        <v>326</v>
      </c>
      <c r="DG40" s="134" t="s">
        <v>311</v>
      </c>
      <c r="DH40" s="138" t="s">
        <v>309</v>
      </c>
      <c r="DI40" s="134" t="s">
        <v>326</v>
      </c>
      <c r="DJ40" s="134" t="s">
        <v>311</v>
      </c>
      <c r="DK40" s="138" t="s">
        <v>309</v>
      </c>
      <c r="DL40" s="134" t="s">
        <v>326</v>
      </c>
      <c r="DM40" s="134" t="s">
        <v>311</v>
      </c>
      <c r="DN40" s="138" t="s">
        <v>309</v>
      </c>
      <c r="DO40" s="134" t="s">
        <v>326</v>
      </c>
      <c r="DP40" s="134" t="s">
        <v>311</v>
      </c>
      <c r="DQ40" s="138" t="s">
        <v>309</v>
      </c>
      <c r="DR40" s="134" t="s">
        <v>326</v>
      </c>
      <c r="DS40" s="134" t="s">
        <v>311</v>
      </c>
      <c r="DT40" s="138" t="s">
        <v>309</v>
      </c>
      <c r="DU40" s="134" t="s">
        <v>326</v>
      </c>
      <c r="DV40" s="134" t="s">
        <v>311</v>
      </c>
      <c r="DW40" s="138" t="s">
        <v>309</v>
      </c>
      <c r="DX40" s="134" t="s">
        <v>326</v>
      </c>
      <c r="DY40" s="134" t="s">
        <v>311</v>
      </c>
      <c r="DZ40" s="138" t="s">
        <v>309</v>
      </c>
      <c r="EA40" s="134" t="s">
        <v>326</v>
      </c>
      <c r="EB40" s="134" t="s">
        <v>311</v>
      </c>
      <c r="EC40" s="138" t="s">
        <v>309</v>
      </c>
      <c r="ED40" s="134" t="s">
        <v>326</v>
      </c>
      <c r="EE40" s="134" t="s">
        <v>311</v>
      </c>
      <c r="EF40" s="138" t="s">
        <v>309</v>
      </c>
      <c r="EG40" s="134" t="s">
        <v>326</v>
      </c>
      <c r="EH40" s="134" t="s">
        <v>311</v>
      </c>
      <c r="EI40" s="138" t="s">
        <v>309</v>
      </c>
      <c r="EJ40" s="134" t="s">
        <v>326</v>
      </c>
      <c r="EK40" s="134" t="s">
        <v>311</v>
      </c>
      <c r="EL40" s="138" t="s">
        <v>309</v>
      </c>
      <c r="EM40" s="134" t="s">
        <v>326</v>
      </c>
      <c r="EN40" s="134" t="s">
        <v>311</v>
      </c>
      <c r="EO40" s="138" t="s">
        <v>309</v>
      </c>
      <c r="EP40" s="134" t="s">
        <v>326</v>
      </c>
      <c r="EQ40" s="134" t="s">
        <v>311</v>
      </c>
      <c r="ER40" s="138" t="s">
        <v>309</v>
      </c>
      <c r="ES40" s="134" t="s">
        <v>326</v>
      </c>
      <c r="ET40" s="134" t="s">
        <v>311</v>
      </c>
      <c r="EU40" s="138" t="s">
        <v>309</v>
      </c>
      <c r="EV40" s="134" t="s">
        <v>326</v>
      </c>
      <c r="EW40" s="134" t="s">
        <v>311</v>
      </c>
    </row>
    <row r="41" spans="1:153" s="132" customFormat="1" ht="24.95" customHeight="1">
      <c r="I41" s="133"/>
      <c r="J41" s="139"/>
      <c r="K41" s="134">
        <v>6</v>
      </c>
      <c r="L41" s="193" t="s">
        <v>299</v>
      </c>
      <c r="M41" s="135" t="s">
        <v>300</v>
      </c>
      <c r="N41" s="134" t="s">
        <v>301</v>
      </c>
      <c r="O41" s="134" t="s">
        <v>312</v>
      </c>
      <c r="P41" s="240" t="s">
        <v>303</v>
      </c>
      <c r="Q41" s="241"/>
      <c r="R41" s="136"/>
      <c r="S41" s="137" t="s">
        <v>304</v>
      </c>
      <c r="T41" s="135" t="s">
        <v>305</v>
      </c>
      <c r="U41" s="135"/>
      <c r="V41" s="135"/>
      <c r="W41" s="135"/>
      <c r="X41" s="135"/>
      <c r="Y41" s="135"/>
      <c r="Z41" s="135"/>
      <c r="AA41" s="240" t="s">
        <v>306</v>
      </c>
      <c r="AB41" s="241"/>
      <c r="AC41" s="135" t="s">
        <v>327</v>
      </c>
      <c r="AD41" s="134" t="s">
        <v>328</v>
      </c>
      <c r="AE41" s="138" t="s">
        <v>302</v>
      </c>
      <c r="AF41" s="134" t="s">
        <v>329</v>
      </c>
      <c r="AG41" s="134" t="s">
        <v>311</v>
      </c>
      <c r="AH41" s="138" t="s">
        <v>302</v>
      </c>
      <c r="AI41" s="134" t="s">
        <v>329</v>
      </c>
      <c r="AJ41" s="134" t="s">
        <v>311</v>
      </c>
      <c r="AK41" s="138" t="s">
        <v>302</v>
      </c>
      <c r="AL41" s="134" t="s">
        <v>329</v>
      </c>
      <c r="AM41" s="134" t="s">
        <v>311</v>
      </c>
      <c r="AN41" s="138" t="s">
        <v>302</v>
      </c>
      <c r="AO41" s="134" t="s">
        <v>329</v>
      </c>
      <c r="AP41" s="134" t="s">
        <v>311</v>
      </c>
      <c r="AQ41" s="138" t="s">
        <v>302</v>
      </c>
      <c r="AR41" s="134" t="s">
        <v>329</v>
      </c>
      <c r="AS41" s="134" t="s">
        <v>311</v>
      </c>
      <c r="AT41" s="138" t="s">
        <v>302</v>
      </c>
      <c r="AU41" s="134" t="s">
        <v>329</v>
      </c>
      <c r="AV41" s="134" t="s">
        <v>311</v>
      </c>
      <c r="AW41" s="138" t="s">
        <v>302</v>
      </c>
      <c r="AX41" s="134" t="s">
        <v>329</v>
      </c>
      <c r="AY41" s="134" t="s">
        <v>311</v>
      </c>
      <c r="AZ41" s="138" t="s">
        <v>302</v>
      </c>
      <c r="BA41" s="134" t="s">
        <v>329</v>
      </c>
      <c r="BB41" s="134" t="s">
        <v>311</v>
      </c>
      <c r="BC41" s="138" t="s">
        <v>302</v>
      </c>
      <c r="BD41" s="134" t="s">
        <v>329</v>
      </c>
      <c r="BE41" s="134" t="s">
        <v>311</v>
      </c>
      <c r="BF41" s="138" t="s">
        <v>302</v>
      </c>
      <c r="BG41" s="134" t="s">
        <v>329</v>
      </c>
      <c r="BH41" s="134" t="s">
        <v>311</v>
      </c>
      <c r="BI41" s="138" t="s">
        <v>302</v>
      </c>
      <c r="BJ41" s="134" t="s">
        <v>329</v>
      </c>
      <c r="BK41" s="134" t="s">
        <v>311</v>
      </c>
      <c r="BL41" s="138" t="s">
        <v>302</v>
      </c>
      <c r="BM41" s="134" t="s">
        <v>329</v>
      </c>
      <c r="BN41" s="134" t="s">
        <v>311</v>
      </c>
      <c r="BO41" s="138" t="s">
        <v>302</v>
      </c>
      <c r="BP41" s="134" t="s">
        <v>329</v>
      </c>
      <c r="BQ41" s="134" t="s">
        <v>311</v>
      </c>
      <c r="BR41" s="138" t="s">
        <v>302</v>
      </c>
      <c r="BS41" s="134" t="s">
        <v>329</v>
      </c>
      <c r="BT41" s="134" t="s">
        <v>311</v>
      </c>
      <c r="BU41" s="138" t="s">
        <v>302</v>
      </c>
      <c r="BV41" s="134" t="s">
        <v>329</v>
      </c>
      <c r="BW41" s="134" t="s">
        <v>311</v>
      </c>
      <c r="BX41" s="138" t="s">
        <v>302</v>
      </c>
      <c r="BY41" s="134" t="s">
        <v>329</v>
      </c>
      <c r="BZ41" s="134" t="s">
        <v>311</v>
      </c>
      <c r="CA41" s="138" t="s">
        <v>302</v>
      </c>
      <c r="CB41" s="134" t="s">
        <v>329</v>
      </c>
      <c r="CC41" s="134" t="s">
        <v>311</v>
      </c>
      <c r="CD41" s="138" t="s">
        <v>302</v>
      </c>
      <c r="CE41" s="134" t="s">
        <v>329</v>
      </c>
      <c r="CF41" s="134" t="s">
        <v>311</v>
      </c>
      <c r="CG41" s="138" t="s">
        <v>302</v>
      </c>
      <c r="CH41" s="134" t="s">
        <v>329</v>
      </c>
      <c r="CI41" s="134" t="s">
        <v>311</v>
      </c>
      <c r="CJ41" s="138" t="s">
        <v>302</v>
      </c>
      <c r="CK41" s="134" t="s">
        <v>329</v>
      </c>
      <c r="CL41" s="134" t="s">
        <v>311</v>
      </c>
      <c r="CM41" s="138" t="s">
        <v>302</v>
      </c>
      <c r="CN41" s="134" t="s">
        <v>329</v>
      </c>
      <c r="CO41" s="134" t="s">
        <v>311</v>
      </c>
      <c r="CP41" s="138" t="s">
        <v>302</v>
      </c>
      <c r="CQ41" s="134" t="s">
        <v>329</v>
      </c>
      <c r="CR41" s="134" t="s">
        <v>311</v>
      </c>
      <c r="CS41" s="138" t="s">
        <v>302</v>
      </c>
      <c r="CT41" s="134" t="s">
        <v>329</v>
      </c>
      <c r="CU41" s="134" t="s">
        <v>311</v>
      </c>
      <c r="CV41" s="138" t="s">
        <v>302</v>
      </c>
      <c r="CW41" s="134" t="s">
        <v>329</v>
      </c>
      <c r="CX41" s="134" t="s">
        <v>311</v>
      </c>
      <c r="CY41" s="138" t="s">
        <v>302</v>
      </c>
      <c r="CZ41" s="134" t="s">
        <v>329</v>
      </c>
      <c r="DA41" s="134" t="s">
        <v>311</v>
      </c>
      <c r="DB41" s="138" t="s">
        <v>302</v>
      </c>
      <c r="DC41" s="134" t="s">
        <v>329</v>
      </c>
      <c r="DD41" s="134" t="s">
        <v>311</v>
      </c>
      <c r="DE41" s="138" t="s">
        <v>302</v>
      </c>
      <c r="DF41" s="134" t="s">
        <v>329</v>
      </c>
      <c r="DG41" s="134" t="s">
        <v>311</v>
      </c>
      <c r="DH41" s="138" t="s">
        <v>302</v>
      </c>
      <c r="DI41" s="134" t="s">
        <v>329</v>
      </c>
      <c r="DJ41" s="134" t="s">
        <v>311</v>
      </c>
      <c r="DK41" s="138" t="s">
        <v>302</v>
      </c>
      <c r="DL41" s="134" t="s">
        <v>329</v>
      </c>
      <c r="DM41" s="134" t="s">
        <v>311</v>
      </c>
      <c r="DN41" s="138" t="s">
        <v>302</v>
      </c>
      <c r="DO41" s="134" t="s">
        <v>329</v>
      </c>
      <c r="DP41" s="134" t="s">
        <v>311</v>
      </c>
      <c r="DQ41" s="138" t="s">
        <v>302</v>
      </c>
      <c r="DR41" s="134" t="s">
        <v>329</v>
      </c>
      <c r="DS41" s="134" t="s">
        <v>311</v>
      </c>
      <c r="DT41" s="138" t="s">
        <v>302</v>
      </c>
      <c r="DU41" s="134" t="s">
        <v>329</v>
      </c>
      <c r="DV41" s="134" t="s">
        <v>311</v>
      </c>
      <c r="DW41" s="138" t="s">
        <v>302</v>
      </c>
      <c r="DX41" s="134" t="s">
        <v>329</v>
      </c>
      <c r="DY41" s="134" t="s">
        <v>311</v>
      </c>
      <c r="DZ41" s="138" t="s">
        <v>302</v>
      </c>
      <c r="EA41" s="134" t="s">
        <v>329</v>
      </c>
      <c r="EB41" s="134" t="s">
        <v>311</v>
      </c>
      <c r="EC41" s="138" t="s">
        <v>302</v>
      </c>
      <c r="ED41" s="134" t="s">
        <v>329</v>
      </c>
      <c r="EE41" s="134" t="s">
        <v>311</v>
      </c>
      <c r="EF41" s="138" t="s">
        <v>302</v>
      </c>
      <c r="EG41" s="134" t="s">
        <v>329</v>
      </c>
      <c r="EH41" s="134" t="s">
        <v>311</v>
      </c>
      <c r="EI41" s="138" t="s">
        <v>302</v>
      </c>
      <c r="EJ41" s="134" t="s">
        <v>329</v>
      </c>
      <c r="EK41" s="134" t="s">
        <v>311</v>
      </c>
      <c r="EL41" s="138" t="s">
        <v>302</v>
      </c>
      <c r="EM41" s="134" t="s">
        <v>329</v>
      </c>
      <c r="EN41" s="134" t="s">
        <v>311</v>
      </c>
      <c r="EO41" s="138" t="s">
        <v>302</v>
      </c>
      <c r="EP41" s="134" t="s">
        <v>329</v>
      </c>
      <c r="EQ41" s="134" t="s">
        <v>311</v>
      </c>
      <c r="ER41" s="138" t="s">
        <v>302</v>
      </c>
      <c r="ES41" s="134" t="s">
        <v>329</v>
      </c>
      <c r="ET41" s="134" t="s">
        <v>311</v>
      </c>
      <c r="EU41" s="138" t="s">
        <v>302</v>
      </c>
      <c r="EV41" s="134" t="s">
        <v>329</v>
      </c>
      <c r="EW41" s="134" t="s">
        <v>311</v>
      </c>
    </row>
    <row r="42" spans="1:153" s="132" customFormat="1" ht="24.95" customHeight="1">
      <c r="I42" s="133"/>
      <c r="J42" s="139"/>
      <c r="K42" s="134">
        <v>7</v>
      </c>
      <c r="L42" s="193" t="s">
        <v>299</v>
      </c>
      <c r="M42" s="135" t="s">
        <v>300</v>
      </c>
      <c r="N42" s="134" t="s">
        <v>301</v>
      </c>
      <c r="O42" s="134" t="s">
        <v>302</v>
      </c>
      <c r="P42" s="240" t="s">
        <v>303</v>
      </c>
      <c r="Q42" s="241"/>
      <c r="R42" s="136"/>
      <c r="S42" s="137" t="s">
        <v>316</v>
      </c>
      <c r="T42" s="135" t="s">
        <v>305</v>
      </c>
      <c r="U42" s="135"/>
      <c r="V42" s="135"/>
      <c r="W42" s="135"/>
      <c r="X42" s="135"/>
      <c r="Y42" s="135"/>
      <c r="Z42" s="135"/>
      <c r="AA42" s="240" t="s">
        <v>317</v>
      </c>
      <c r="AB42" s="241"/>
      <c r="AC42" s="135" t="s">
        <v>330</v>
      </c>
      <c r="AD42" s="134" t="s">
        <v>331</v>
      </c>
      <c r="AE42" s="138" t="s">
        <v>309</v>
      </c>
      <c r="AF42" s="134" t="s">
        <v>332</v>
      </c>
      <c r="AG42" s="134" t="s">
        <v>311</v>
      </c>
      <c r="AH42" s="138" t="s">
        <v>309</v>
      </c>
      <c r="AI42" s="134" t="s">
        <v>332</v>
      </c>
      <c r="AJ42" s="134" t="s">
        <v>311</v>
      </c>
      <c r="AK42" s="138" t="s">
        <v>309</v>
      </c>
      <c r="AL42" s="134" t="s">
        <v>332</v>
      </c>
      <c r="AM42" s="134" t="s">
        <v>311</v>
      </c>
      <c r="AN42" s="138" t="s">
        <v>309</v>
      </c>
      <c r="AO42" s="134" t="s">
        <v>332</v>
      </c>
      <c r="AP42" s="134" t="s">
        <v>311</v>
      </c>
      <c r="AQ42" s="138" t="s">
        <v>309</v>
      </c>
      <c r="AR42" s="134" t="s">
        <v>332</v>
      </c>
      <c r="AS42" s="134" t="s">
        <v>311</v>
      </c>
      <c r="AT42" s="138" t="s">
        <v>309</v>
      </c>
      <c r="AU42" s="134" t="s">
        <v>332</v>
      </c>
      <c r="AV42" s="134" t="s">
        <v>311</v>
      </c>
      <c r="AW42" s="138" t="s">
        <v>309</v>
      </c>
      <c r="AX42" s="134" t="s">
        <v>332</v>
      </c>
      <c r="AY42" s="134" t="s">
        <v>311</v>
      </c>
      <c r="AZ42" s="138" t="s">
        <v>309</v>
      </c>
      <c r="BA42" s="134" t="s">
        <v>332</v>
      </c>
      <c r="BB42" s="134" t="s">
        <v>311</v>
      </c>
      <c r="BC42" s="138" t="s">
        <v>309</v>
      </c>
      <c r="BD42" s="134" t="s">
        <v>332</v>
      </c>
      <c r="BE42" s="134" t="s">
        <v>311</v>
      </c>
      <c r="BF42" s="138" t="s">
        <v>309</v>
      </c>
      <c r="BG42" s="134" t="s">
        <v>332</v>
      </c>
      <c r="BH42" s="134" t="s">
        <v>311</v>
      </c>
      <c r="BI42" s="138" t="s">
        <v>309</v>
      </c>
      <c r="BJ42" s="134" t="s">
        <v>332</v>
      </c>
      <c r="BK42" s="134" t="s">
        <v>311</v>
      </c>
      <c r="BL42" s="138" t="s">
        <v>309</v>
      </c>
      <c r="BM42" s="134" t="s">
        <v>332</v>
      </c>
      <c r="BN42" s="134" t="s">
        <v>311</v>
      </c>
      <c r="BO42" s="138" t="s">
        <v>309</v>
      </c>
      <c r="BP42" s="134" t="s">
        <v>332</v>
      </c>
      <c r="BQ42" s="134" t="s">
        <v>311</v>
      </c>
      <c r="BR42" s="138" t="s">
        <v>309</v>
      </c>
      <c r="BS42" s="134" t="s">
        <v>332</v>
      </c>
      <c r="BT42" s="134" t="s">
        <v>311</v>
      </c>
      <c r="BU42" s="138" t="s">
        <v>309</v>
      </c>
      <c r="BV42" s="134" t="s">
        <v>332</v>
      </c>
      <c r="BW42" s="134" t="s">
        <v>311</v>
      </c>
      <c r="BX42" s="138" t="s">
        <v>309</v>
      </c>
      <c r="BY42" s="134" t="s">
        <v>332</v>
      </c>
      <c r="BZ42" s="134" t="s">
        <v>311</v>
      </c>
      <c r="CA42" s="138" t="s">
        <v>309</v>
      </c>
      <c r="CB42" s="134" t="s">
        <v>332</v>
      </c>
      <c r="CC42" s="134" t="s">
        <v>311</v>
      </c>
      <c r="CD42" s="138" t="s">
        <v>309</v>
      </c>
      <c r="CE42" s="134" t="s">
        <v>332</v>
      </c>
      <c r="CF42" s="134" t="s">
        <v>311</v>
      </c>
      <c r="CG42" s="138" t="s">
        <v>309</v>
      </c>
      <c r="CH42" s="134" t="s">
        <v>332</v>
      </c>
      <c r="CI42" s="134" t="s">
        <v>311</v>
      </c>
      <c r="CJ42" s="138" t="s">
        <v>309</v>
      </c>
      <c r="CK42" s="134" t="s">
        <v>332</v>
      </c>
      <c r="CL42" s="134" t="s">
        <v>311</v>
      </c>
      <c r="CM42" s="138" t="s">
        <v>309</v>
      </c>
      <c r="CN42" s="134" t="s">
        <v>332</v>
      </c>
      <c r="CO42" s="134" t="s">
        <v>311</v>
      </c>
      <c r="CP42" s="138" t="s">
        <v>309</v>
      </c>
      <c r="CQ42" s="134" t="s">
        <v>332</v>
      </c>
      <c r="CR42" s="134" t="s">
        <v>311</v>
      </c>
      <c r="CS42" s="138" t="s">
        <v>309</v>
      </c>
      <c r="CT42" s="134" t="s">
        <v>332</v>
      </c>
      <c r="CU42" s="134" t="s">
        <v>311</v>
      </c>
      <c r="CV42" s="138" t="s">
        <v>309</v>
      </c>
      <c r="CW42" s="134" t="s">
        <v>332</v>
      </c>
      <c r="CX42" s="134" t="s">
        <v>311</v>
      </c>
      <c r="CY42" s="138" t="s">
        <v>309</v>
      </c>
      <c r="CZ42" s="134" t="s">
        <v>332</v>
      </c>
      <c r="DA42" s="134" t="s">
        <v>311</v>
      </c>
      <c r="DB42" s="138" t="s">
        <v>309</v>
      </c>
      <c r="DC42" s="134" t="s">
        <v>332</v>
      </c>
      <c r="DD42" s="134" t="s">
        <v>311</v>
      </c>
      <c r="DE42" s="138" t="s">
        <v>309</v>
      </c>
      <c r="DF42" s="134" t="s">
        <v>332</v>
      </c>
      <c r="DG42" s="134" t="s">
        <v>311</v>
      </c>
      <c r="DH42" s="138" t="s">
        <v>309</v>
      </c>
      <c r="DI42" s="134" t="s">
        <v>332</v>
      </c>
      <c r="DJ42" s="134" t="s">
        <v>311</v>
      </c>
      <c r="DK42" s="138" t="s">
        <v>309</v>
      </c>
      <c r="DL42" s="134" t="s">
        <v>332</v>
      </c>
      <c r="DM42" s="134" t="s">
        <v>311</v>
      </c>
      <c r="DN42" s="138" t="s">
        <v>309</v>
      </c>
      <c r="DO42" s="134" t="s">
        <v>332</v>
      </c>
      <c r="DP42" s="134" t="s">
        <v>311</v>
      </c>
      <c r="DQ42" s="138" t="s">
        <v>309</v>
      </c>
      <c r="DR42" s="134" t="s">
        <v>332</v>
      </c>
      <c r="DS42" s="134" t="s">
        <v>311</v>
      </c>
      <c r="DT42" s="138" t="s">
        <v>309</v>
      </c>
      <c r="DU42" s="134" t="s">
        <v>332</v>
      </c>
      <c r="DV42" s="134" t="s">
        <v>311</v>
      </c>
      <c r="DW42" s="138" t="s">
        <v>309</v>
      </c>
      <c r="DX42" s="134" t="s">
        <v>332</v>
      </c>
      <c r="DY42" s="134" t="s">
        <v>311</v>
      </c>
      <c r="DZ42" s="138" t="s">
        <v>309</v>
      </c>
      <c r="EA42" s="134" t="s">
        <v>332</v>
      </c>
      <c r="EB42" s="134" t="s">
        <v>311</v>
      </c>
      <c r="EC42" s="138" t="s">
        <v>309</v>
      </c>
      <c r="ED42" s="134" t="s">
        <v>332</v>
      </c>
      <c r="EE42" s="134" t="s">
        <v>311</v>
      </c>
      <c r="EF42" s="138" t="s">
        <v>309</v>
      </c>
      <c r="EG42" s="134" t="s">
        <v>332</v>
      </c>
      <c r="EH42" s="134" t="s">
        <v>311</v>
      </c>
      <c r="EI42" s="138" t="s">
        <v>309</v>
      </c>
      <c r="EJ42" s="134" t="s">
        <v>332</v>
      </c>
      <c r="EK42" s="134" t="s">
        <v>311</v>
      </c>
      <c r="EL42" s="138" t="s">
        <v>309</v>
      </c>
      <c r="EM42" s="134" t="s">
        <v>332</v>
      </c>
      <c r="EN42" s="134" t="s">
        <v>311</v>
      </c>
      <c r="EO42" s="138" t="s">
        <v>309</v>
      </c>
      <c r="EP42" s="134" t="s">
        <v>332</v>
      </c>
      <c r="EQ42" s="134" t="s">
        <v>311</v>
      </c>
      <c r="ER42" s="138" t="s">
        <v>309</v>
      </c>
      <c r="ES42" s="134" t="s">
        <v>332</v>
      </c>
      <c r="ET42" s="134" t="s">
        <v>311</v>
      </c>
      <c r="EU42" s="138" t="s">
        <v>309</v>
      </c>
      <c r="EV42" s="134" t="s">
        <v>332</v>
      </c>
      <c r="EW42" s="134" t="s">
        <v>311</v>
      </c>
    </row>
    <row r="43" spans="1:153" s="132" customFormat="1" ht="24.95" customHeight="1">
      <c r="I43" s="133"/>
      <c r="J43" s="139"/>
      <c r="K43" s="134">
        <v>8</v>
      </c>
      <c r="L43" s="193" t="s">
        <v>299</v>
      </c>
      <c r="M43" s="135" t="s">
        <v>333</v>
      </c>
      <c r="N43" s="134" t="s">
        <v>301</v>
      </c>
      <c r="O43" s="134" t="s">
        <v>312</v>
      </c>
      <c r="P43" s="240" t="s">
        <v>303</v>
      </c>
      <c r="Q43" s="241"/>
      <c r="R43" s="136"/>
      <c r="S43" s="137" t="s">
        <v>304</v>
      </c>
      <c r="T43" s="135" t="s">
        <v>305</v>
      </c>
      <c r="U43" s="135"/>
      <c r="V43" s="135"/>
      <c r="W43" s="135"/>
      <c r="X43" s="135"/>
      <c r="Y43" s="135"/>
      <c r="Z43" s="135"/>
      <c r="AA43" s="240" t="s">
        <v>306</v>
      </c>
      <c r="AB43" s="241"/>
      <c r="AC43" s="370" t="s">
        <v>334</v>
      </c>
      <c r="AD43" s="134" t="s">
        <v>335</v>
      </c>
      <c r="AE43" s="138" t="s">
        <v>309</v>
      </c>
      <c r="AF43" s="134" t="s">
        <v>336</v>
      </c>
      <c r="AG43" s="134" t="s">
        <v>311</v>
      </c>
      <c r="AH43" s="138" t="s">
        <v>309</v>
      </c>
      <c r="AI43" s="134" t="s">
        <v>336</v>
      </c>
      <c r="AJ43" s="134" t="s">
        <v>311</v>
      </c>
      <c r="AK43" s="138" t="s">
        <v>309</v>
      </c>
      <c r="AL43" s="134" t="s">
        <v>336</v>
      </c>
      <c r="AM43" s="134" t="s">
        <v>311</v>
      </c>
      <c r="AN43" s="138" t="s">
        <v>309</v>
      </c>
      <c r="AO43" s="134" t="s">
        <v>336</v>
      </c>
      <c r="AP43" s="134" t="s">
        <v>311</v>
      </c>
      <c r="AQ43" s="138" t="s">
        <v>309</v>
      </c>
      <c r="AR43" s="134" t="s">
        <v>336</v>
      </c>
      <c r="AS43" s="134" t="s">
        <v>311</v>
      </c>
      <c r="AT43" s="138" t="s">
        <v>309</v>
      </c>
      <c r="AU43" s="134" t="s">
        <v>336</v>
      </c>
      <c r="AV43" s="134" t="s">
        <v>311</v>
      </c>
      <c r="AW43" s="138" t="s">
        <v>309</v>
      </c>
      <c r="AX43" s="134" t="s">
        <v>336</v>
      </c>
      <c r="AY43" s="134" t="s">
        <v>311</v>
      </c>
      <c r="AZ43" s="138" t="s">
        <v>309</v>
      </c>
      <c r="BA43" s="134" t="s">
        <v>336</v>
      </c>
      <c r="BB43" s="134" t="s">
        <v>311</v>
      </c>
      <c r="BC43" s="138" t="s">
        <v>309</v>
      </c>
      <c r="BD43" s="134" t="s">
        <v>336</v>
      </c>
      <c r="BE43" s="134" t="s">
        <v>311</v>
      </c>
      <c r="BF43" s="138" t="s">
        <v>309</v>
      </c>
      <c r="BG43" s="134" t="s">
        <v>336</v>
      </c>
      <c r="BH43" s="134" t="s">
        <v>311</v>
      </c>
      <c r="BI43" s="138" t="s">
        <v>309</v>
      </c>
      <c r="BJ43" s="134" t="s">
        <v>336</v>
      </c>
      <c r="BK43" s="134" t="s">
        <v>311</v>
      </c>
      <c r="BL43" s="138" t="s">
        <v>309</v>
      </c>
      <c r="BM43" s="134" t="s">
        <v>336</v>
      </c>
      <c r="BN43" s="134" t="s">
        <v>311</v>
      </c>
      <c r="BO43" s="138" t="s">
        <v>309</v>
      </c>
      <c r="BP43" s="134" t="s">
        <v>336</v>
      </c>
      <c r="BQ43" s="134" t="s">
        <v>311</v>
      </c>
      <c r="BR43" s="138" t="s">
        <v>309</v>
      </c>
      <c r="BS43" s="134" t="s">
        <v>336</v>
      </c>
      <c r="BT43" s="134" t="s">
        <v>311</v>
      </c>
      <c r="BU43" s="138" t="s">
        <v>309</v>
      </c>
      <c r="BV43" s="134" t="s">
        <v>336</v>
      </c>
      <c r="BW43" s="134" t="s">
        <v>311</v>
      </c>
      <c r="BX43" s="138" t="s">
        <v>309</v>
      </c>
      <c r="BY43" s="134" t="s">
        <v>336</v>
      </c>
      <c r="BZ43" s="134" t="s">
        <v>311</v>
      </c>
      <c r="CA43" s="138" t="s">
        <v>309</v>
      </c>
      <c r="CB43" s="134" t="s">
        <v>336</v>
      </c>
      <c r="CC43" s="134" t="s">
        <v>311</v>
      </c>
      <c r="CD43" s="138" t="s">
        <v>309</v>
      </c>
      <c r="CE43" s="134" t="s">
        <v>336</v>
      </c>
      <c r="CF43" s="134" t="s">
        <v>311</v>
      </c>
      <c r="CG43" s="138" t="s">
        <v>309</v>
      </c>
      <c r="CH43" s="134" t="s">
        <v>336</v>
      </c>
      <c r="CI43" s="134" t="s">
        <v>311</v>
      </c>
      <c r="CJ43" s="138" t="s">
        <v>309</v>
      </c>
      <c r="CK43" s="134" t="s">
        <v>336</v>
      </c>
      <c r="CL43" s="134" t="s">
        <v>311</v>
      </c>
      <c r="CM43" s="138" t="s">
        <v>309</v>
      </c>
      <c r="CN43" s="134" t="s">
        <v>336</v>
      </c>
      <c r="CO43" s="134" t="s">
        <v>311</v>
      </c>
      <c r="CP43" s="138" t="s">
        <v>309</v>
      </c>
      <c r="CQ43" s="134" t="s">
        <v>336</v>
      </c>
      <c r="CR43" s="134" t="s">
        <v>311</v>
      </c>
      <c r="CS43" s="138" t="s">
        <v>309</v>
      </c>
      <c r="CT43" s="134" t="s">
        <v>336</v>
      </c>
      <c r="CU43" s="134" t="s">
        <v>311</v>
      </c>
      <c r="CV43" s="138" t="s">
        <v>309</v>
      </c>
      <c r="CW43" s="134" t="s">
        <v>336</v>
      </c>
      <c r="CX43" s="134" t="s">
        <v>311</v>
      </c>
      <c r="CY43" s="138" t="s">
        <v>309</v>
      </c>
      <c r="CZ43" s="134" t="s">
        <v>336</v>
      </c>
      <c r="DA43" s="134" t="s">
        <v>311</v>
      </c>
      <c r="DB43" s="138" t="s">
        <v>309</v>
      </c>
      <c r="DC43" s="134" t="s">
        <v>336</v>
      </c>
      <c r="DD43" s="134" t="s">
        <v>311</v>
      </c>
      <c r="DE43" s="138" t="s">
        <v>309</v>
      </c>
      <c r="DF43" s="134" t="s">
        <v>336</v>
      </c>
      <c r="DG43" s="134" t="s">
        <v>311</v>
      </c>
      <c r="DH43" s="138" t="s">
        <v>309</v>
      </c>
      <c r="DI43" s="134" t="s">
        <v>336</v>
      </c>
      <c r="DJ43" s="134" t="s">
        <v>311</v>
      </c>
      <c r="DK43" s="138" t="s">
        <v>309</v>
      </c>
      <c r="DL43" s="134" t="s">
        <v>336</v>
      </c>
      <c r="DM43" s="134" t="s">
        <v>311</v>
      </c>
      <c r="DN43" s="138" t="s">
        <v>309</v>
      </c>
      <c r="DO43" s="134" t="s">
        <v>336</v>
      </c>
      <c r="DP43" s="134" t="s">
        <v>311</v>
      </c>
      <c r="DQ43" s="138" t="s">
        <v>309</v>
      </c>
      <c r="DR43" s="134" t="s">
        <v>336</v>
      </c>
      <c r="DS43" s="134" t="s">
        <v>311</v>
      </c>
      <c r="DT43" s="138" t="s">
        <v>309</v>
      </c>
      <c r="DU43" s="134" t="s">
        <v>336</v>
      </c>
      <c r="DV43" s="134" t="s">
        <v>311</v>
      </c>
      <c r="DW43" s="138" t="s">
        <v>309</v>
      </c>
      <c r="DX43" s="134" t="s">
        <v>336</v>
      </c>
      <c r="DY43" s="134" t="s">
        <v>311</v>
      </c>
      <c r="DZ43" s="138" t="s">
        <v>309</v>
      </c>
      <c r="EA43" s="134" t="s">
        <v>336</v>
      </c>
      <c r="EB43" s="134" t="s">
        <v>311</v>
      </c>
      <c r="EC43" s="138" t="s">
        <v>309</v>
      </c>
      <c r="ED43" s="134" t="s">
        <v>336</v>
      </c>
      <c r="EE43" s="134" t="s">
        <v>311</v>
      </c>
      <c r="EF43" s="138" t="s">
        <v>309</v>
      </c>
      <c r="EG43" s="134" t="s">
        <v>336</v>
      </c>
      <c r="EH43" s="134" t="s">
        <v>311</v>
      </c>
      <c r="EI43" s="138" t="s">
        <v>309</v>
      </c>
      <c r="EJ43" s="134" t="s">
        <v>336</v>
      </c>
      <c r="EK43" s="134" t="s">
        <v>311</v>
      </c>
      <c r="EL43" s="138" t="s">
        <v>309</v>
      </c>
      <c r="EM43" s="134" t="s">
        <v>336</v>
      </c>
      <c r="EN43" s="134" t="s">
        <v>311</v>
      </c>
      <c r="EO43" s="138" t="s">
        <v>309</v>
      </c>
      <c r="EP43" s="134" t="s">
        <v>336</v>
      </c>
      <c r="EQ43" s="134" t="s">
        <v>311</v>
      </c>
      <c r="ER43" s="138" t="s">
        <v>309</v>
      </c>
      <c r="ES43" s="134" t="s">
        <v>336</v>
      </c>
      <c r="ET43" s="134" t="s">
        <v>311</v>
      </c>
      <c r="EU43" s="138" t="s">
        <v>309</v>
      </c>
      <c r="EV43" s="134" t="s">
        <v>336</v>
      </c>
      <c r="EW43" s="134" t="s">
        <v>311</v>
      </c>
    </row>
    <row r="44" spans="1:153" s="132" customFormat="1" ht="24.95" customHeight="1">
      <c r="I44" s="133"/>
      <c r="J44" s="139"/>
      <c r="K44" s="134">
        <v>9</v>
      </c>
      <c r="L44" s="193" t="s">
        <v>299</v>
      </c>
      <c r="M44" s="135" t="s">
        <v>300</v>
      </c>
      <c r="N44" s="134" t="s">
        <v>301</v>
      </c>
      <c r="O44" s="134" t="s">
        <v>312</v>
      </c>
      <c r="P44" s="240" t="s">
        <v>303</v>
      </c>
      <c r="Q44" s="241"/>
      <c r="R44" s="136"/>
      <c r="S44" s="137" t="s">
        <v>316</v>
      </c>
      <c r="T44" s="135" t="s">
        <v>305</v>
      </c>
      <c r="U44" s="135"/>
      <c r="V44" s="135"/>
      <c r="W44" s="135"/>
      <c r="X44" s="135"/>
      <c r="Y44" s="135"/>
      <c r="Z44" s="135"/>
      <c r="AA44" s="240" t="s">
        <v>317</v>
      </c>
      <c r="AB44" s="241"/>
      <c r="AC44" s="135" t="s">
        <v>337</v>
      </c>
      <c r="AD44" s="134" t="s">
        <v>338</v>
      </c>
      <c r="AE44" s="138" t="s">
        <v>309</v>
      </c>
      <c r="AF44" s="134" t="s">
        <v>339</v>
      </c>
      <c r="AG44" s="134" t="s">
        <v>311</v>
      </c>
      <c r="AH44" s="138" t="s">
        <v>309</v>
      </c>
      <c r="AI44" s="134" t="s">
        <v>339</v>
      </c>
      <c r="AJ44" s="134" t="s">
        <v>311</v>
      </c>
      <c r="AK44" s="138" t="s">
        <v>309</v>
      </c>
      <c r="AL44" s="134" t="s">
        <v>339</v>
      </c>
      <c r="AM44" s="134" t="s">
        <v>311</v>
      </c>
      <c r="AN44" s="138" t="s">
        <v>309</v>
      </c>
      <c r="AO44" s="134" t="s">
        <v>339</v>
      </c>
      <c r="AP44" s="134" t="s">
        <v>311</v>
      </c>
      <c r="AQ44" s="138" t="s">
        <v>309</v>
      </c>
      <c r="AR44" s="134" t="s">
        <v>339</v>
      </c>
      <c r="AS44" s="134" t="s">
        <v>311</v>
      </c>
      <c r="AT44" s="138" t="s">
        <v>309</v>
      </c>
      <c r="AU44" s="134" t="s">
        <v>339</v>
      </c>
      <c r="AV44" s="134" t="s">
        <v>311</v>
      </c>
      <c r="AW44" s="138" t="s">
        <v>309</v>
      </c>
      <c r="AX44" s="134" t="s">
        <v>339</v>
      </c>
      <c r="AY44" s="134" t="s">
        <v>311</v>
      </c>
      <c r="AZ44" s="138" t="s">
        <v>309</v>
      </c>
      <c r="BA44" s="134" t="s">
        <v>339</v>
      </c>
      <c r="BB44" s="134" t="s">
        <v>311</v>
      </c>
      <c r="BC44" s="138" t="s">
        <v>309</v>
      </c>
      <c r="BD44" s="134" t="s">
        <v>339</v>
      </c>
      <c r="BE44" s="134" t="s">
        <v>311</v>
      </c>
      <c r="BF44" s="138" t="s">
        <v>309</v>
      </c>
      <c r="BG44" s="134" t="s">
        <v>339</v>
      </c>
      <c r="BH44" s="134" t="s">
        <v>311</v>
      </c>
      <c r="BI44" s="138" t="s">
        <v>309</v>
      </c>
      <c r="BJ44" s="134" t="s">
        <v>339</v>
      </c>
      <c r="BK44" s="134" t="s">
        <v>311</v>
      </c>
      <c r="BL44" s="138" t="s">
        <v>309</v>
      </c>
      <c r="BM44" s="134" t="s">
        <v>339</v>
      </c>
      <c r="BN44" s="134" t="s">
        <v>311</v>
      </c>
      <c r="BO44" s="138" t="s">
        <v>309</v>
      </c>
      <c r="BP44" s="134" t="s">
        <v>339</v>
      </c>
      <c r="BQ44" s="134" t="s">
        <v>311</v>
      </c>
      <c r="BR44" s="138" t="s">
        <v>309</v>
      </c>
      <c r="BS44" s="134" t="s">
        <v>339</v>
      </c>
      <c r="BT44" s="134" t="s">
        <v>311</v>
      </c>
      <c r="BU44" s="138" t="s">
        <v>309</v>
      </c>
      <c r="BV44" s="134" t="s">
        <v>339</v>
      </c>
      <c r="BW44" s="134" t="s">
        <v>311</v>
      </c>
      <c r="BX44" s="138" t="s">
        <v>309</v>
      </c>
      <c r="BY44" s="134" t="s">
        <v>339</v>
      </c>
      <c r="BZ44" s="134" t="s">
        <v>311</v>
      </c>
      <c r="CA44" s="138" t="s">
        <v>309</v>
      </c>
      <c r="CB44" s="134" t="s">
        <v>339</v>
      </c>
      <c r="CC44" s="134" t="s">
        <v>311</v>
      </c>
      <c r="CD44" s="138" t="s">
        <v>309</v>
      </c>
      <c r="CE44" s="134" t="s">
        <v>339</v>
      </c>
      <c r="CF44" s="134" t="s">
        <v>311</v>
      </c>
      <c r="CG44" s="138" t="s">
        <v>309</v>
      </c>
      <c r="CH44" s="134" t="s">
        <v>339</v>
      </c>
      <c r="CI44" s="134" t="s">
        <v>311</v>
      </c>
      <c r="CJ44" s="138" t="s">
        <v>309</v>
      </c>
      <c r="CK44" s="134" t="s">
        <v>339</v>
      </c>
      <c r="CL44" s="134" t="s">
        <v>311</v>
      </c>
      <c r="CM44" s="138" t="s">
        <v>309</v>
      </c>
      <c r="CN44" s="134" t="s">
        <v>339</v>
      </c>
      <c r="CO44" s="134" t="s">
        <v>311</v>
      </c>
      <c r="CP44" s="138" t="s">
        <v>309</v>
      </c>
      <c r="CQ44" s="134" t="s">
        <v>339</v>
      </c>
      <c r="CR44" s="134" t="s">
        <v>311</v>
      </c>
      <c r="CS44" s="138" t="s">
        <v>309</v>
      </c>
      <c r="CT44" s="134" t="s">
        <v>339</v>
      </c>
      <c r="CU44" s="134" t="s">
        <v>311</v>
      </c>
      <c r="CV44" s="138" t="s">
        <v>309</v>
      </c>
      <c r="CW44" s="134" t="s">
        <v>339</v>
      </c>
      <c r="CX44" s="134" t="s">
        <v>311</v>
      </c>
      <c r="CY44" s="138" t="s">
        <v>309</v>
      </c>
      <c r="CZ44" s="134" t="s">
        <v>339</v>
      </c>
      <c r="DA44" s="134" t="s">
        <v>311</v>
      </c>
      <c r="DB44" s="138" t="s">
        <v>309</v>
      </c>
      <c r="DC44" s="134" t="s">
        <v>339</v>
      </c>
      <c r="DD44" s="134" t="s">
        <v>311</v>
      </c>
      <c r="DE44" s="138" t="s">
        <v>309</v>
      </c>
      <c r="DF44" s="134" t="s">
        <v>339</v>
      </c>
      <c r="DG44" s="134" t="s">
        <v>311</v>
      </c>
      <c r="DH44" s="138" t="s">
        <v>309</v>
      </c>
      <c r="DI44" s="134" t="s">
        <v>339</v>
      </c>
      <c r="DJ44" s="134" t="s">
        <v>311</v>
      </c>
      <c r="DK44" s="138" t="s">
        <v>309</v>
      </c>
      <c r="DL44" s="134" t="s">
        <v>339</v>
      </c>
      <c r="DM44" s="134" t="s">
        <v>311</v>
      </c>
      <c r="DN44" s="138" t="s">
        <v>309</v>
      </c>
      <c r="DO44" s="134" t="s">
        <v>339</v>
      </c>
      <c r="DP44" s="134" t="s">
        <v>311</v>
      </c>
      <c r="DQ44" s="138" t="s">
        <v>309</v>
      </c>
      <c r="DR44" s="134" t="s">
        <v>339</v>
      </c>
      <c r="DS44" s="134" t="s">
        <v>311</v>
      </c>
      <c r="DT44" s="138" t="s">
        <v>309</v>
      </c>
      <c r="DU44" s="134" t="s">
        <v>339</v>
      </c>
      <c r="DV44" s="134" t="s">
        <v>311</v>
      </c>
      <c r="DW44" s="138" t="s">
        <v>309</v>
      </c>
      <c r="DX44" s="134" t="s">
        <v>339</v>
      </c>
      <c r="DY44" s="134" t="s">
        <v>311</v>
      </c>
      <c r="DZ44" s="138" t="s">
        <v>309</v>
      </c>
      <c r="EA44" s="134" t="s">
        <v>339</v>
      </c>
      <c r="EB44" s="134" t="s">
        <v>311</v>
      </c>
      <c r="EC44" s="138" t="s">
        <v>309</v>
      </c>
      <c r="ED44" s="134" t="s">
        <v>339</v>
      </c>
      <c r="EE44" s="134" t="s">
        <v>311</v>
      </c>
      <c r="EF44" s="138" t="s">
        <v>309</v>
      </c>
      <c r="EG44" s="134" t="s">
        <v>339</v>
      </c>
      <c r="EH44" s="134" t="s">
        <v>311</v>
      </c>
      <c r="EI44" s="138" t="s">
        <v>309</v>
      </c>
      <c r="EJ44" s="134" t="s">
        <v>339</v>
      </c>
      <c r="EK44" s="134" t="s">
        <v>311</v>
      </c>
      <c r="EL44" s="138" t="s">
        <v>309</v>
      </c>
      <c r="EM44" s="134" t="s">
        <v>339</v>
      </c>
      <c r="EN44" s="134" t="s">
        <v>311</v>
      </c>
      <c r="EO44" s="138" t="s">
        <v>309</v>
      </c>
      <c r="EP44" s="134" t="s">
        <v>339</v>
      </c>
      <c r="EQ44" s="134" t="s">
        <v>311</v>
      </c>
      <c r="ER44" s="138" t="s">
        <v>309</v>
      </c>
      <c r="ES44" s="134" t="s">
        <v>339</v>
      </c>
      <c r="ET44" s="134" t="s">
        <v>311</v>
      </c>
      <c r="EU44" s="138" t="s">
        <v>309</v>
      </c>
      <c r="EV44" s="134" t="s">
        <v>339</v>
      </c>
      <c r="EW44" s="134" t="s">
        <v>311</v>
      </c>
    </row>
    <row r="45" spans="1:153" s="132" customFormat="1" ht="24.95" customHeight="1">
      <c r="I45" s="133"/>
      <c r="J45" s="139"/>
      <c r="K45" s="134">
        <v>10</v>
      </c>
      <c r="L45" s="193" t="s">
        <v>299</v>
      </c>
      <c r="M45" s="135" t="s">
        <v>333</v>
      </c>
      <c r="N45" s="134" t="s">
        <v>301</v>
      </c>
      <c r="O45" s="134" t="s">
        <v>312</v>
      </c>
      <c r="P45" s="240" t="s">
        <v>303</v>
      </c>
      <c r="Q45" s="241"/>
      <c r="R45" s="136"/>
      <c r="S45" s="137" t="s">
        <v>288</v>
      </c>
      <c r="T45" s="135" t="s">
        <v>305</v>
      </c>
      <c r="U45" s="135"/>
      <c r="V45" s="135"/>
      <c r="W45" s="135"/>
      <c r="X45" s="135"/>
      <c r="Y45" s="135"/>
      <c r="Z45" s="135"/>
      <c r="AA45" s="240" t="s">
        <v>340</v>
      </c>
      <c r="AB45" s="241"/>
      <c r="AC45" s="370" t="s">
        <v>341</v>
      </c>
      <c r="AD45" s="134" t="s">
        <v>342</v>
      </c>
      <c r="AE45" s="138" t="s">
        <v>302</v>
      </c>
      <c r="AF45" s="134" t="s">
        <v>343</v>
      </c>
      <c r="AG45" s="134" t="s">
        <v>311</v>
      </c>
      <c r="AH45" s="138" t="s">
        <v>302</v>
      </c>
      <c r="AI45" s="134" t="s">
        <v>343</v>
      </c>
      <c r="AJ45" s="134" t="s">
        <v>311</v>
      </c>
      <c r="AK45" s="138" t="s">
        <v>302</v>
      </c>
      <c r="AL45" s="134" t="s">
        <v>343</v>
      </c>
      <c r="AM45" s="134" t="s">
        <v>311</v>
      </c>
      <c r="AN45" s="138" t="s">
        <v>302</v>
      </c>
      <c r="AO45" s="134" t="s">
        <v>343</v>
      </c>
      <c r="AP45" s="134" t="s">
        <v>311</v>
      </c>
      <c r="AQ45" s="138" t="s">
        <v>302</v>
      </c>
      <c r="AR45" s="134" t="s">
        <v>343</v>
      </c>
      <c r="AS45" s="134" t="s">
        <v>311</v>
      </c>
      <c r="AT45" s="138" t="s">
        <v>302</v>
      </c>
      <c r="AU45" s="134" t="s">
        <v>343</v>
      </c>
      <c r="AV45" s="134" t="s">
        <v>311</v>
      </c>
      <c r="AW45" s="138" t="s">
        <v>302</v>
      </c>
      <c r="AX45" s="134" t="s">
        <v>343</v>
      </c>
      <c r="AY45" s="134" t="s">
        <v>311</v>
      </c>
      <c r="AZ45" s="138" t="s">
        <v>302</v>
      </c>
      <c r="BA45" s="134" t="s">
        <v>343</v>
      </c>
      <c r="BB45" s="134" t="s">
        <v>311</v>
      </c>
      <c r="BC45" s="138" t="s">
        <v>302</v>
      </c>
      <c r="BD45" s="134" t="s">
        <v>343</v>
      </c>
      <c r="BE45" s="134" t="s">
        <v>311</v>
      </c>
      <c r="BF45" s="138" t="s">
        <v>302</v>
      </c>
      <c r="BG45" s="134" t="s">
        <v>343</v>
      </c>
      <c r="BH45" s="134" t="s">
        <v>311</v>
      </c>
      <c r="BI45" s="138" t="s">
        <v>302</v>
      </c>
      <c r="BJ45" s="134" t="s">
        <v>343</v>
      </c>
      <c r="BK45" s="134" t="s">
        <v>311</v>
      </c>
      <c r="BL45" s="138" t="s">
        <v>302</v>
      </c>
      <c r="BM45" s="134" t="s">
        <v>343</v>
      </c>
      <c r="BN45" s="134" t="s">
        <v>311</v>
      </c>
      <c r="BO45" s="138" t="s">
        <v>302</v>
      </c>
      <c r="BP45" s="134" t="s">
        <v>343</v>
      </c>
      <c r="BQ45" s="134" t="s">
        <v>311</v>
      </c>
      <c r="BR45" s="138" t="s">
        <v>302</v>
      </c>
      <c r="BS45" s="134" t="s">
        <v>343</v>
      </c>
      <c r="BT45" s="134" t="s">
        <v>311</v>
      </c>
      <c r="BU45" s="138" t="s">
        <v>302</v>
      </c>
      <c r="BV45" s="134" t="s">
        <v>343</v>
      </c>
      <c r="BW45" s="134" t="s">
        <v>311</v>
      </c>
      <c r="BX45" s="138" t="s">
        <v>302</v>
      </c>
      <c r="BY45" s="134" t="s">
        <v>343</v>
      </c>
      <c r="BZ45" s="134" t="s">
        <v>311</v>
      </c>
      <c r="CA45" s="138" t="s">
        <v>302</v>
      </c>
      <c r="CB45" s="134" t="s">
        <v>343</v>
      </c>
      <c r="CC45" s="134" t="s">
        <v>311</v>
      </c>
      <c r="CD45" s="138" t="s">
        <v>302</v>
      </c>
      <c r="CE45" s="134" t="s">
        <v>343</v>
      </c>
      <c r="CF45" s="134" t="s">
        <v>311</v>
      </c>
      <c r="CG45" s="138" t="s">
        <v>302</v>
      </c>
      <c r="CH45" s="134" t="s">
        <v>343</v>
      </c>
      <c r="CI45" s="134" t="s">
        <v>311</v>
      </c>
      <c r="CJ45" s="138" t="s">
        <v>302</v>
      </c>
      <c r="CK45" s="134" t="s">
        <v>343</v>
      </c>
      <c r="CL45" s="134" t="s">
        <v>311</v>
      </c>
      <c r="CM45" s="138" t="s">
        <v>302</v>
      </c>
      <c r="CN45" s="134" t="s">
        <v>343</v>
      </c>
      <c r="CO45" s="134" t="s">
        <v>311</v>
      </c>
      <c r="CP45" s="138" t="s">
        <v>302</v>
      </c>
      <c r="CQ45" s="134" t="s">
        <v>343</v>
      </c>
      <c r="CR45" s="134" t="s">
        <v>311</v>
      </c>
      <c r="CS45" s="138" t="s">
        <v>302</v>
      </c>
      <c r="CT45" s="134" t="s">
        <v>343</v>
      </c>
      <c r="CU45" s="134" t="s">
        <v>311</v>
      </c>
      <c r="CV45" s="138" t="s">
        <v>302</v>
      </c>
      <c r="CW45" s="134" t="s">
        <v>343</v>
      </c>
      <c r="CX45" s="134" t="s">
        <v>311</v>
      </c>
      <c r="CY45" s="138" t="s">
        <v>302</v>
      </c>
      <c r="CZ45" s="134" t="s">
        <v>343</v>
      </c>
      <c r="DA45" s="134" t="s">
        <v>311</v>
      </c>
      <c r="DB45" s="138" t="s">
        <v>302</v>
      </c>
      <c r="DC45" s="134" t="s">
        <v>343</v>
      </c>
      <c r="DD45" s="134" t="s">
        <v>311</v>
      </c>
      <c r="DE45" s="138" t="s">
        <v>302</v>
      </c>
      <c r="DF45" s="134" t="s">
        <v>343</v>
      </c>
      <c r="DG45" s="134" t="s">
        <v>311</v>
      </c>
      <c r="DH45" s="138" t="s">
        <v>302</v>
      </c>
      <c r="DI45" s="134" t="s">
        <v>343</v>
      </c>
      <c r="DJ45" s="134" t="s">
        <v>311</v>
      </c>
      <c r="DK45" s="138" t="s">
        <v>302</v>
      </c>
      <c r="DL45" s="134" t="s">
        <v>343</v>
      </c>
      <c r="DM45" s="134" t="s">
        <v>311</v>
      </c>
      <c r="DN45" s="138" t="s">
        <v>302</v>
      </c>
      <c r="DO45" s="134" t="s">
        <v>343</v>
      </c>
      <c r="DP45" s="134" t="s">
        <v>311</v>
      </c>
      <c r="DQ45" s="138" t="s">
        <v>302</v>
      </c>
      <c r="DR45" s="134" t="s">
        <v>343</v>
      </c>
      <c r="DS45" s="134" t="s">
        <v>311</v>
      </c>
      <c r="DT45" s="138" t="s">
        <v>302</v>
      </c>
      <c r="DU45" s="134" t="s">
        <v>343</v>
      </c>
      <c r="DV45" s="134" t="s">
        <v>311</v>
      </c>
      <c r="DW45" s="138" t="s">
        <v>302</v>
      </c>
      <c r="DX45" s="134" t="s">
        <v>343</v>
      </c>
      <c r="DY45" s="134" t="s">
        <v>311</v>
      </c>
      <c r="DZ45" s="138" t="s">
        <v>302</v>
      </c>
      <c r="EA45" s="134" t="s">
        <v>343</v>
      </c>
      <c r="EB45" s="134" t="s">
        <v>311</v>
      </c>
      <c r="EC45" s="138" t="s">
        <v>302</v>
      </c>
      <c r="ED45" s="134" t="s">
        <v>343</v>
      </c>
      <c r="EE45" s="134" t="s">
        <v>311</v>
      </c>
      <c r="EF45" s="138" t="s">
        <v>302</v>
      </c>
      <c r="EG45" s="134" t="s">
        <v>343</v>
      </c>
      <c r="EH45" s="134" t="s">
        <v>311</v>
      </c>
      <c r="EI45" s="138" t="s">
        <v>302</v>
      </c>
      <c r="EJ45" s="134" t="s">
        <v>343</v>
      </c>
      <c r="EK45" s="134" t="s">
        <v>311</v>
      </c>
      <c r="EL45" s="138" t="s">
        <v>302</v>
      </c>
      <c r="EM45" s="134" t="s">
        <v>343</v>
      </c>
      <c r="EN45" s="134" t="s">
        <v>311</v>
      </c>
      <c r="EO45" s="138" t="s">
        <v>302</v>
      </c>
      <c r="EP45" s="134" t="s">
        <v>343</v>
      </c>
      <c r="EQ45" s="134" t="s">
        <v>311</v>
      </c>
      <c r="ER45" s="138" t="s">
        <v>302</v>
      </c>
      <c r="ES45" s="134" t="s">
        <v>343</v>
      </c>
      <c r="ET45" s="134" t="s">
        <v>311</v>
      </c>
      <c r="EU45" s="138" t="s">
        <v>302</v>
      </c>
      <c r="EV45" s="134" t="s">
        <v>343</v>
      </c>
      <c r="EW45" s="134" t="s">
        <v>311</v>
      </c>
    </row>
    <row r="48" spans="1:153" ht="18" customHeight="1">
      <c r="U48" s="98"/>
      <c r="V48" s="98"/>
      <c r="W48" s="98"/>
      <c r="X48" s="98"/>
      <c r="Y48" s="98"/>
      <c r="Z48" s="98"/>
    </row>
    <row r="49" spans="15:26" ht="18" customHeight="1">
      <c r="U49" s="99"/>
      <c r="V49" s="99"/>
      <c r="W49" s="99"/>
      <c r="X49" s="99"/>
      <c r="Y49" s="99"/>
      <c r="Z49" s="99"/>
    </row>
    <row r="50" spans="15:26" ht="18" customHeight="1">
      <c r="U50" s="99"/>
      <c r="V50" s="99"/>
      <c r="W50" s="99"/>
      <c r="X50" s="99"/>
      <c r="Y50" s="99"/>
      <c r="Z50" s="99"/>
    </row>
    <row r="52" spans="15:26" ht="18" customHeight="1">
      <c r="O52" s="88"/>
      <c r="P52" s="88"/>
      <c r="Q52" s="88"/>
      <c r="R52" s="88"/>
      <c r="S52" s="88"/>
      <c r="T52" s="88"/>
    </row>
    <row r="53" spans="15:26" ht="18" customHeight="1">
      <c r="O53" s="88"/>
      <c r="P53" s="88"/>
      <c r="Q53" s="88"/>
      <c r="R53" s="88"/>
      <c r="S53" s="88"/>
      <c r="T53" s="88"/>
    </row>
    <row r="54" spans="15:26" ht="18" customHeight="1">
      <c r="O54" s="88"/>
      <c r="P54" s="88"/>
      <c r="Q54" s="88"/>
      <c r="R54" s="88"/>
      <c r="S54" s="88"/>
      <c r="T54" s="88"/>
    </row>
  </sheetData>
  <mergeCells count="1092">
    <mergeCell ref="EU27:EW27"/>
    <mergeCell ref="EU28:EW28"/>
    <mergeCell ref="EU29:EW29"/>
    <mergeCell ref="EU30:EW30"/>
    <mergeCell ref="EU31:EW31"/>
    <mergeCell ref="EU32:EW32"/>
    <mergeCell ref="EU33:EW33"/>
    <mergeCell ref="EU34:EW34"/>
    <mergeCell ref="ER28:ET28"/>
    <mergeCell ref="ER29:ET29"/>
    <mergeCell ref="ER30:ET30"/>
    <mergeCell ref="ER31:ET31"/>
    <mergeCell ref="ER32:ET32"/>
    <mergeCell ref="ER33:ET33"/>
    <mergeCell ref="ER34:ET34"/>
    <mergeCell ref="EU1:EW1"/>
    <mergeCell ref="EU2:EW2"/>
    <mergeCell ref="EU12:EW12"/>
    <mergeCell ref="EU13:EW13"/>
    <mergeCell ref="EU14:EW14"/>
    <mergeCell ref="EU15:EW15"/>
    <mergeCell ref="EU16:EW16"/>
    <mergeCell ref="EU17:EW17"/>
    <mergeCell ref="EU18:EW18"/>
    <mergeCell ref="EU19:EW19"/>
    <mergeCell ref="EU20:EW20"/>
    <mergeCell ref="EU21:EW21"/>
    <mergeCell ref="EU22:EW22"/>
    <mergeCell ref="EU23:EW23"/>
    <mergeCell ref="EU24:EW24"/>
    <mergeCell ref="EU25:EW25"/>
    <mergeCell ref="EU26:EW26"/>
    <mergeCell ref="ER19:ET19"/>
    <mergeCell ref="ER20:ET20"/>
    <mergeCell ref="ER21:ET21"/>
    <mergeCell ref="ER22:ET22"/>
    <mergeCell ref="ER23:ET23"/>
    <mergeCell ref="ER24:ET24"/>
    <mergeCell ref="ER25:ET25"/>
    <mergeCell ref="ER26:ET26"/>
    <mergeCell ref="ER27:ET27"/>
    <mergeCell ref="ER1:ET1"/>
    <mergeCell ref="ER2:ET2"/>
    <mergeCell ref="ER12:ET12"/>
    <mergeCell ref="ER13:ET13"/>
    <mergeCell ref="ER14:ET14"/>
    <mergeCell ref="ER15:ET15"/>
    <mergeCell ref="ER16:ET16"/>
    <mergeCell ref="ER17:ET17"/>
    <mergeCell ref="ER18:ET18"/>
    <mergeCell ref="EI17:EK17"/>
    <mergeCell ref="EI18:EK18"/>
    <mergeCell ref="EO26:EQ26"/>
    <mergeCell ref="EO27:EQ27"/>
    <mergeCell ref="EO28:EQ28"/>
    <mergeCell ref="EO29:EQ29"/>
    <mergeCell ref="EO30:EQ30"/>
    <mergeCell ref="EO31:EQ31"/>
    <mergeCell ref="EO32:EQ32"/>
    <mergeCell ref="EO33:EQ33"/>
    <mergeCell ref="EO34:EQ34"/>
    <mergeCell ref="EL27:EN27"/>
    <mergeCell ref="EL28:EN28"/>
    <mergeCell ref="EL29:EN29"/>
    <mergeCell ref="EL30:EN30"/>
    <mergeCell ref="EL31:EN31"/>
    <mergeCell ref="EL32:EN32"/>
    <mergeCell ref="EL33:EN33"/>
    <mergeCell ref="EL34:EN34"/>
    <mergeCell ref="EI19:EK19"/>
    <mergeCell ref="EI20:EK20"/>
    <mergeCell ref="EI21:EK21"/>
    <mergeCell ref="EI22:EK22"/>
    <mergeCell ref="EI23:EK23"/>
    <mergeCell ref="EI24:EK24"/>
    <mergeCell ref="EI25:EK25"/>
    <mergeCell ref="EI26:EK26"/>
    <mergeCell ref="EI27:EK27"/>
    <mergeCell ref="EO1:EQ1"/>
    <mergeCell ref="EO2:EQ2"/>
    <mergeCell ref="EO12:EQ12"/>
    <mergeCell ref="EO13:EQ13"/>
    <mergeCell ref="EO14:EQ14"/>
    <mergeCell ref="EO15:EQ15"/>
    <mergeCell ref="EO16:EQ16"/>
    <mergeCell ref="EO17:EQ17"/>
    <mergeCell ref="EO18:EQ18"/>
    <mergeCell ref="EO19:EQ19"/>
    <mergeCell ref="EO20:EQ20"/>
    <mergeCell ref="EO21:EQ21"/>
    <mergeCell ref="EO22:EQ22"/>
    <mergeCell ref="EO23:EQ23"/>
    <mergeCell ref="EO24:EQ24"/>
    <mergeCell ref="EO25:EQ25"/>
    <mergeCell ref="EI1:EK1"/>
    <mergeCell ref="EI2:EK2"/>
    <mergeCell ref="EI12:EK12"/>
    <mergeCell ref="EI13:EK13"/>
    <mergeCell ref="EI14:EK14"/>
    <mergeCell ref="EI15:EK15"/>
    <mergeCell ref="EI16:EK16"/>
    <mergeCell ref="EL1:EN1"/>
    <mergeCell ref="EL2:EN2"/>
    <mergeCell ref="EL12:EN12"/>
    <mergeCell ref="EL13:EN13"/>
    <mergeCell ref="EL14:EN14"/>
    <mergeCell ref="EL15:EN15"/>
    <mergeCell ref="EL16:EN16"/>
    <mergeCell ref="EL17:EN17"/>
    <mergeCell ref="EL18:EN18"/>
    <mergeCell ref="EL19:EN19"/>
    <mergeCell ref="EL20:EN20"/>
    <mergeCell ref="EL21:EN21"/>
    <mergeCell ref="EL22:EN22"/>
    <mergeCell ref="EL23:EN23"/>
    <mergeCell ref="EL24:EN24"/>
    <mergeCell ref="EL25:EN25"/>
    <mergeCell ref="EL26:EN26"/>
    <mergeCell ref="EF29:EH29"/>
    <mergeCell ref="EF30:EH30"/>
    <mergeCell ref="EF31:EH31"/>
    <mergeCell ref="EF32:EH32"/>
    <mergeCell ref="EF33:EH33"/>
    <mergeCell ref="EF34:EH34"/>
    <mergeCell ref="EC27:EE27"/>
    <mergeCell ref="EC28:EE28"/>
    <mergeCell ref="EC29:EE29"/>
    <mergeCell ref="EC30:EE30"/>
    <mergeCell ref="EC31:EE31"/>
    <mergeCell ref="EC32:EE32"/>
    <mergeCell ref="EC33:EE33"/>
    <mergeCell ref="EC34:EE34"/>
    <mergeCell ref="EI29:EK29"/>
    <mergeCell ref="EI30:EK30"/>
    <mergeCell ref="EI31:EK31"/>
    <mergeCell ref="EI32:EK32"/>
    <mergeCell ref="EI33:EK33"/>
    <mergeCell ref="EI34:EK34"/>
    <mergeCell ref="EI28:EK28"/>
    <mergeCell ref="EF1:EH1"/>
    <mergeCell ref="EF2:EH2"/>
    <mergeCell ref="EF12:EH12"/>
    <mergeCell ref="EF13:EH13"/>
    <mergeCell ref="EF14:EH14"/>
    <mergeCell ref="EF15:EH15"/>
    <mergeCell ref="EF16:EH16"/>
    <mergeCell ref="EF17:EH17"/>
    <mergeCell ref="EF18:EH18"/>
    <mergeCell ref="EF19:EH19"/>
    <mergeCell ref="EF20:EH20"/>
    <mergeCell ref="EF21:EH21"/>
    <mergeCell ref="EF22:EH22"/>
    <mergeCell ref="EF23:EH23"/>
    <mergeCell ref="EF24:EH24"/>
    <mergeCell ref="EF25:EH25"/>
    <mergeCell ref="DZ28:EB28"/>
    <mergeCell ref="DZ1:EB1"/>
    <mergeCell ref="DZ2:EB2"/>
    <mergeCell ref="DZ12:EB12"/>
    <mergeCell ref="DZ13:EB13"/>
    <mergeCell ref="DZ14:EB14"/>
    <mergeCell ref="DZ15:EB15"/>
    <mergeCell ref="DZ16:EB16"/>
    <mergeCell ref="DZ17:EB17"/>
    <mergeCell ref="DZ18:EB18"/>
    <mergeCell ref="EF26:EH26"/>
    <mergeCell ref="EF27:EH27"/>
    <mergeCell ref="EF28:EH28"/>
    <mergeCell ref="DZ29:EB29"/>
    <mergeCell ref="DZ30:EB30"/>
    <mergeCell ref="DZ31:EB31"/>
    <mergeCell ref="DZ32:EB32"/>
    <mergeCell ref="DZ33:EB33"/>
    <mergeCell ref="DZ34:EB34"/>
    <mergeCell ref="EC1:EE1"/>
    <mergeCell ref="EC2:EE2"/>
    <mergeCell ref="EC12:EE12"/>
    <mergeCell ref="EC13:EE13"/>
    <mergeCell ref="EC14:EE14"/>
    <mergeCell ref="EC15:EE15"/>
    <mergeCell ref="EC16:EE16"/>
    <mergeCell ref="EC17:EE17"/>
    <mergeCell ref="EC18:EE18"/>
    <mergeCell ref="EC19:EE19"/>
    <mergeCell ref="EC20:EE20"/>
    <mergeCell ref="EC21:EE21"/>
    <mergeCell ref="EC22:EE22"/>
    <mergeCell ref="EC23:EE23"/>
    <mergeCell ref="EC24:EE24"/>
    <mergeCell ref="EC25:EE25"/>
    <mergeCell ref="EC26:EE26"/>
    <mergeCell ref="DZ19:EB19"/>
    <mergeCell ref="DZ20:EB20"/>
    <mergeCell ref="DZ21:EB21"/>
    <mergeCell ref="DZ22:EB22"/>
    <mergeCell ref="DZ23:EB23"/>
    <mergeCell ref="DZ24:EB24"/>
    <mergeCell ref="DZ25:EB25"/>
    <mergeCell ref="DZ26:EB26"/>
    <mergeCell ref="DZ27:EB27"/>
    <mergeCell ref="DQ17:DS17"/>
    <mergeCell ref="DQ18:DS18"/>
    <mergeCell ref="DW26:DY26"/>
    <mergeCell ref="DW27:DY27"/>
    <mergeCell ref="DW28:DY28"/>
    <mergeCell ref="DW29:DY29"/>
    <mergeCell ref="DW30:DY30"/>
    <mergeCell ref="DW31:DY31"/>
    <mergeCell ref="DW32:DY32"/>
    <mergeCell ref="DW33:DY33"/>
    <mergeCell ref="DW34:DY34"/>
    <mergeCell ref="DT27:DV27"/>
    <mergeCell ref="DT28:DV28"/>
    <mergeCell ref="DT29:DV29"/>
    <mergeCell ref="DT30:DV30"/>
    <mergeCell ref="DT31:DV31"/>
    <mergeCell ref="DT32:DV32"/>
    <mergeCell ref="DT33:DV33"/>
    <mergeCell ref="DT34:DV34"/>
    <mergeCell ref="DQ19:DS19"/>
    <mergeCell ref="DQ20:DS20"/>
    <mergeCell ref="DQ21:DS21"/>
    <mergeCell ref="DQ22:DS22"/>
    <mergeCell ref="DQ23:DS23"/>
    <mergeCell ref="DQ24:DS24"/>
    <mergeCell ref="DQ25:DS25"/>
    <mergeCell ref="DQ26:DS26"/>
    <mergeCell ref="DQ27:DS27"/>
    <mergeCell ref="DW1:DY1"/>
    <mergeCell ref="DW2:DY2"/>
    <mergeCell ref="DW12:DY12"/>
    <mergeCell ref="DW13:DY13"/>
    <mergeCell ref="DW14:DY14"/>
    <mergeCell ref="DW15:DY15"/>
    <mergeCell ref="DW16:DY16"/>
    <mergeCell ref="DW17:DY17"/>
    <mergeCell ref="DW18:DY18"/>
    <mergeCell ref="DW19:DY19"/>
    <mergeCell ref="DW20:DY20"/>
    <mergeCell ref="DW21:DY21"/>
    <mergeCell ref="DW22:DY22"/>
    <mergeCell ref="DW23:DY23"/>
    <mergeCell ref="DW24:DY24"/>
    <mergeCell ref="DW25:DY25"/>
    <mergeCell ref="DQ1:DS1"/>
    <mergeCell ref="DQ2:DS2"/>
    <mergeCell ref="DQ12:DS12"/>
    <mergeCell ref="DQ13:DS13"/>
    <mergeCell ref="DQ14:DS14"/>
    <mergeCell ref="DQ15:DS15"/>
    <mergeCell ref="DQ16:DS16"/>
    <mergeCell ref="DT1:DV1"/>
    <mergeCell ref="DT2:DV2"/>
    <mergeCell ref="DT12:DV12"/>
    <mergeCell ref="DT13:DV13"/>
    <mergeCell ref="DT14:DV14"/>
    <mergeCell ref="DT15:DV15"/>
    <mergeCell ref="DT16:DV16"/>
    <mergeCell ref="DT17:DV17"/>
    <mergeCell ref="DT18:DV18"/>
    <mergeCell ref="DT19:DV19"/>
    <mergeCell ref="DT20:DV20"/>
    <mergeCell ref="DT21:DV21"/>
    <mergeCell ref="DT22:DV22"/>
    <mergeCell ref="DT23:DV23"/>
    <mergeCell ref="DT24:DV24"/>
    <mergeCell ref="DT25:DV25"/>
    <mergeCell ref="DT26:DV26"/>
    <mergeCell ref="DN29:DP29"/>
    <mergeCell ref="DN30:DP30"/>
    <mergeCell ref="DN31:DP31"/>
    <mergeCell ref="DN32:DP32"/>
    <mergeCell ref="DN33:DP33"/>
    <mergeCell ref="DN34:DP34"/>
    <mergeCell ref="DK27:DM27"/>
    <mergeCell ref="DK28:DM28"/>
    <mergeCell ref="DK29:DM29"/>
    <mergeCell ref="DK30:DM30"/>
    <mergeCell ref="DK31:DM31"/>
    <mergeCell ref="DK32:DM32"/>
    <mergeCell ref="DK33:DM33"/>
    <mergeCell ref="DK34:DM34"/>
    <mergeCell ref="DQ29:DS29"/>
    <mergeCell ref="DQ30:DS30"/>
    <mergeCell ref="DQ31:DS31"/>
    <mergeCell ref="DQ32:DS32"/>
    <mergeCell ref="DQ33:DS33"/>
    <mergeCell ref="DQ34:DS34"/>
    <mergeCell ref="DQ28:DS28"/>
    <mergeCell ref="DN1:DP1"/>
    <mergeCell ref="DN2:DP2"/>
    <mergeCell ref="DN12:DP12"/>
    <mergeCell ref="DN13:DP13"/>
    <mergeCell ref="DN14:DP14"/>
    <mergeCell ref="DN15:DP15"/>
    <mergeCell ref="DN16:DP16"/>
    <mergeCell ref="DN17:DP17"/>
    <mergeCell ref="DN18:DP18"/>
    <mergeCell ref="DN19:DP19"/>
    <mergeCell ref="DN20:DP20"/>
    <mergeCell ref="DN21:DP21"/>
    <mergeCell ref="DN22:DP22"/>
    <mergeCell ref="DN23:DP23"/>
    <mergeCell ref="DN24:DP24"/>
    <mergeCell ref="DN25:DP25"/>
    <mergeCell ref="DH28:DJ28"/>
    <mergeCell ref="DH1:DJ1"/>
    <mergeCell ref="DH2:DJ2"/>
    <mergeCell ref="DH12:DJ12"/>
    <mergeCell ref="DH13:DJ13"/>
    <mergeCell ref="DH14:DJ14"/>
    <mergeCell ref="DH15:DJ15"/>
    <mergeCell ref="DH16:DJ16"/>
    <mergeCell ref="DH17:DJ17"/>
    <mergeCell ref="DH18:DJ18"/>
    <mergeCell ref="DN26:DP26"/>
    <mergeCell ref="DN27:DP27"/>
    <mergeCell ref="DN28:DP28"/>
    <mergeCell ref="DH29:DJ29"/>
    <mergeCell ref="DH30:DJ30"/>
    <mergeCell ref="DH31:DJ31"/>
    <mergeCell ref="DH32:DJ32"/>
    <mergeCell ref="DH33:DJ33"/>
    <mergeCell ref="DH34:DJ34"/>
    <mergeCell ref="DK1:DM1"/>
    <mergeCell ref="DK2:DM2"/>
    <mergeCell ref="DK12:DM12"/>
    <mergeCell ref="DK13:DM13"/>
    <mergeCell ref="DK14:DM14"/>
    <mergeCell ref="DK15:DM15"/>
    <mergeCell ref="DK16:DM16"/>
    <mergeCell ref="DK17:DM17"/>
    <mergeCell ref="DK18:DM18"/>
    <mergeCell ref="DK19:DM19"/>
    <mergeCell ref="DK20:DM20"/>
    <mergeCell ref="DK21:DM21"/>
    <mergeCell ref="DK22:DM22"/>
    <mergeCell ref="DK23:DM23"/>
    <mergeCell ref="DK24:DM24"/>
    <mergeCell ref="DK25:DM25"/>
    <mergeCell ref="DK26:DM26"/>
    <mergeCell ref="DH19:DJ19"/>
    <mergeCell ref="DH20:DJ20"/>
    <mergeCell ref="DH21:DJ21"/>
    <mergeCell ref="DH22:DJ22"/>
    <mergeCell ref="DH23:DJ23"/>
    <mergeCell ref="DH24:DJ24"/>
    <mergeCell ref="DH25:DJ25"/>
    <mergeCell ref="DH26:DJ26"/>
    <mergeCell ref="DH27:DJ27"/>
    <mergeCell ref="CY17:DA17"/>
    <mergeCell ref="CY18:DA18"/>
    <mergeCell ref="DE26:DG26"/>
    <mergeCell ref="DE27:DG27"/>
    <mergeCell ref="DE28:DG28"/>
    <mergeCell ref="DE29:DG29"/>
    <mergeCell ref="DE30:DG30"/>
    <mergeCell ref="DE31:DG31"/>
    <mergeCell ref="DE32:DG32"/>
    <mergeCell ref="DE33:DG33"/>
    <mergeCell ref="DE34:DG34"/>
    <mergeCell ref="DB27:DD27"/>
    <mergeCell ref="DB28:DD28"/>
    <mergeCell ref="DB29:DD29"/>
    <mergeCell ref="DB30:DD30"/>
    <mergeCell ref="DB31:DD31"/>
    <mergeCell ref="DB32:DD32"/>
    <mergeCell ref="DB33:DD33"/>
    <mergeCell ref="DB34:DD34"/>
    <mergeCell ref="CY19:DA19"/>
    <mergeCell ref="CY20:DA20"/>
    <mergeCell ref="CY21:DA21"/>
    <mergeCell ref="CY22:DA22"/>
    <mergeCell ref="CY23:DA23"/>
    <mergeCell ref="CY24:DA24"/>
    <mergeCell ref="CY25:DA25"/>
    <mergeCell ref="CY26:DA26"/>
    <mergeCell ref="CY27:DA27"/>
    <mergeCell ref="DE1:DG1"/>
    <mergeCell ref="DE2:DG2"/>
    <mergeCell ref="DE12:DG12"/>
    <mergeCell ref="DE13:DG13"/>
    <mergeCell ref="DE14:DG14"/>
    <mergeCell ref="DE15:DG15"/>
    <mergeCell ref="DE16:DG16"/>
    <mergeCell ref="DE17:DG17"/>
    <mergeCell ref="DE18:DG18"/>
    <mergeCell ref="DE19:DG19"/>
    <mergeCell ref="DE20:DG20"/>
    <mergeCell ref="DE21:DG21"/>
    <mergeCell ref="DE22:DG22"/>
    <mergeCell ref="DE23:DG23"/>
    <mergeCell ref="DE24:DG24"/>
    <mergeCell ref="DE25:DG25"/>
    <mergeCell ref="CY1:DA1"/>
    <mergeCell ref="CY2:DA2"/>
    <mergeCell ref="CY12:DA12"/>
    <mergeCell ref="CY13:DA13"/>
    <mergeCell ref="CY14:DA14"/>
    <mergeCell ref="CY15:DA15"/>
    <mergeCell ref="CY16:DA16"/>
    <mergeCell ref="DB1:DD1"/>
    <mergeCell ref="DB2:DD2"/>
    <mergeCell ref="DB12:DD12"/>
    <mergeCell ref="DB13:DD13"/>
    <mergeCell ref="DB14:DD14"/>
    <mergeCell ref="DB15:DD15"/>
    <mergeCell ref="DB16:DD16"/>
    <mergeCell ref="DB17:DD17"/>
    <mergeCell ref="DB18:DD18"/>
    <mergeCell ref="DB19:DD19"/>
    <mergeCell ref="DB20:DD20"/>
    <mergeCell ref="DB21:DD21"/>
    <mergeCell ref="DB22:DD22"/>
    <mergeCell ref="DB23:DD23"/>
    <mergeCell ref="DB24:DD24"/>
    <mergeCell ref="DB25:DD25"/>
    <mergeCell ref="DB26:DD26"/>
    <mergeCell ref="CV29:CX29"/>
    <mergeCell ref="CV30:CX30"/>
    <mergeCell ref="CV31:CX31"/>
    <mergeCell ref="CV32:CX32"/>
    <mergeCell ref="CV33:CX33"/>
    <mergeCell ref="CV34:CX34"/>
    <mergeCell ref="CS27:CU27"/>
    <mergeCell ref="CS28:CU28"/>
    <mergeCell ref="CS29:CU29"/>
    <mergeCell ref="CS30:CU30"/>
    <mergeCell ref="CS31:CU31"/>
    <mergeCell ref="CS32:CU32"/>
    <mergeCell ref="CS33:CU33"/>
    <mergeCell ref="CS34:CU34"/>
    <mergeCell ref="CY29:DA29"/>
    <mergeCell ref="CY30:DA30"/>
    <mergeCell ref="CY31:DA31"/>
    <mergeCell ref="CY32:DA32"/>
    <mergeCell ref="CY33:DA33"/>
    <mergeCell ref="CY34:DA34"/>
    <mergeCell ref="CY28:DA28"/>
    <mergeCell ref="CV1:CX1"/>
    <mergeCell ref="CV2:CX2"/>
    <mergeCell ref="CV12:CX12"/>
    <mergeCell ref="CV13:CX13"/>
    <mergeCell ref="CV14:CX14"/>
    <mergeCell ref="CV15:CX15"/>
    <mergeCell ref="CV16:CX16"/>
    <mergeCell ref="CV17:CX17"/>
    <mergeCell ref="CV18:CX18"/>
    <mergeCell ref="CV19:CX19"/>
    <mergeCell ref="CV20:CX20"/>
    <mergeCell ref="CV21:CX21"/>
    <mergeCell ref="CV22:CX22"/>
    <mergeCell ref="CV23:CX23"/>
    <mergeCell ref="CV24:CX24"/>
    <mergeCell ref="CV25:CX25"/>
    <mergeCell ref="CP28:CR28"/>
    <mergeCell ref="CP1:CR1"/>
    <mergeCell ref="CP2:CR2"/>
    <mergeCell ref="CP12:CR12"/>
    <mergeCell ref="CP13:CR13"/>
    <mergeCell ref="CP14:CR14"/>
    <mergeCell ref="CP15:CR15"/>
    <mergeCell ref="CP16:CR16"/>
    <mergeCell ref="CP17:CR17"/>
    <mergeCell ref="CP18:CR18"/>
    <mergeCell ref="CV26:CX26"/>
    <mergeCell ref="CV27:CX27"/>
    <mergeCell ref="CV28:CX28"/>
    <mergeCell ref="CP29:CR29"/>
    <mergeCell ref="CP30:CR30"/>
    <mergeCell ref="CP31:CR31"/>
    <mergeCell ref="CP32:CR32"/>
    <mergeCell ref="CP33:CR33"/>
    <mergeCell ref="CP34:CR34"/>
    <mergeCell ref="CS1:CU1"/>
    <mergeCell ref="CS2:CU2"/>
    <mergeCell ref="CS12:CU12"/>
    <mergeCell ref="CS13:CU13"/>
    <mergeCell ref="CS14:CU14"/>
    <mergeCell ref="CS15:CU15"/>
    <mergeCell ref="CS16:CU16"/>
    <mergeCell ref="CS17:CU17"/>
    <mergeCell ref="CS18:CU18"/>
    <mergeCell ref="CS19:CU19"/>
    <mergeCell ref="CS20:CU20"/>
    <mergeCell ref="CS21:CU21"/>
    <mergeCell ref="CS22:CU22"/>
    <mergeCell ref="CS23:CU23"/>
    <mergeCell ref="CS24:CU24"/>
    <mergeCell ref="CS25:CU25"/>
    <mergeCell ref="CS26:CU26"/>
    <mergeCell ref="CP19:CR19"/>
    <mergeCell ref="CP20:CR20"/>
    <mergeCell ref="CP21:CR21"/>
    <mergeCell ref="CP22:CR22"/>
    <mergeCell ref="CP23:CR23"/>
    <mergeCell ref="CP24:CR24"/>
    <mergeCell ref="CP25:CR25"/>
    <mergeCell ref="CP26:CR26"/>
    <mergeCell ref="CP27:CR27"/>
    <mergeCell ref="CG17:CI17"/>
    <mergeCell ref="CG18:CI18"/>
    <mergeCell ref="CM26:CO26"/>
    <mergeCell ref="CM27:CO27"/>
    <mergeCell ref="CM28:CO28"/>
    <mergeCell ref="CM29:CO29"/>
    <mergeCell ref="CM30:CO30"/>
    <mergeCell ref="CM31:CO31"/>
    <mergeCell ref="CM32:CO32"/>
    <mergeCell ref="CM33:CO33"/>
    <mergeCell ref="CM34:CO34"/>
    <mergeCell ref="CJ27:CL27"/>
    <mergeCell ref="CJ28:CL28"/>
    <mergeCell ref="CJ29:CL29"/>
    <mergeCell ref="CJ30:CL30"/>
    <mergeCell ref="CJ31:CL31"/>
    <mergeCell ref="CJ32:CL32"/>
    <mergeCell ref="CJ33:CL33"/>
    <mergeCell ref="CJ34:CL34"/>
    <mergeCell ref="CG19:CI19"/>
    <mergeCell ref="CG20:CI20"/>
    <mergeCell ref="CG21:CI21"/>
    <mergeCell ref="CG22:CI22"/>
    <mergeCell ref="CG23:CI23"/>
    <mergeCell ref="CG24:CI24"/>
    <mergeCell ref="CG25:CI25"/>
    <mergeCell ref="CG26:CI26"/>
    <mergeCell ref="CG27:CI27"/>
    <mergeCell ref="CM1:CO1"/>
    <mergeCell ref="CM2:CO2"/>
    <mergeCell ref="CM12:CO12"/>
    <mergeCell ref="CM13:CO13"/>
    <mergeCell ref="CM14:CO14"/>
    <mergeCell ref="CM15:CO15"/>
    <mergeCell ref="CM16:CO16"/>
    <mergeCell ref="CM17:CO17"/>
    <mergeCell ref="CM18:CO18"/>
    <mergeCell ref="CM19:CO19"/>
    <mergeCell ref="CM20:CO20"/>
    <mergeCell ref="CM21:CO21"/>
    <mergeCell ref="CM22:CO22"/>
    <mergeCell ref="CM23:CO23"/>
    <mergeCell ref="CM24:CO24"/>
    <mergeCell ref="CM25:CO25"/>
    <mergeCell ref="CG1:CI1"/>
    <mergeCell ref="CG2:CI2"/>
    <mergeCell ref="CG12:CI12"/>
    <mergeCell ref="CG13:CI13"/>
    <mergeCell ref="CG14:CI14"/>
    <mergeCell ref="CG15:CI15"/>
    <mergeCell ref="CG16:CI16"/>
    <mergeCell ref="CJ1:CL1"/>
    <mergeCell ref="CJ2:CL2"/>
    <mergeCell ref="CJ12:CL12"/>
    <mergeCell ref="CJ13:CL13"/>
    <mergeCell ref="CJ14:CL14"/>
    <mergeCell ref="CJ15:CL15"/>
    <mergeCell ref="CJ16:CL16"/>
    <mergeCell ref="CJ17:CL17"/>
    <mergeCell ref="CJ18:CL18"/>
    <mergeCell ref="CJ19:CL19"/>
    <mergeCell ref="CJ20:CL20"/>
    <mergeCell ref="CJ21:CL21"/>
    <mergeCell ref="CJ22:CL22"/>
    <mergeCell ref="CJ23:CL23"/>
    <mergeCell ref="CJ24:CL24"/>
    <mergeCell ref="CJ25:CL25"/>
    <mergeCell ref="CJ26:CL26"/>
    <mergeCell ref="CD29:CF29"/>
    <mergeCell ref="CD30:CF30"/>
    <mergeCell ref="CD31:CF31"/>
    <mergeCell ref="CD32:CF32"/>
    <mergeCell ref="CD33:CF33"/>
    <mergeCell ref="CD34:CF34"/>
    <mergeCell ref="CA27:CC27"/>
    <mergeCell ref="CA28:CC28"/>
    <mergeCell ref="CA29:CC29"/>
    <mergeCell ref="CA30:CC30"/>
    <mergeCell ref="CA31:CC31"/>
    <mergeCell ref="CA32:CC32"/>
    <mergeCell ref="CA33:CC33"/>
    <mergeCell ref="CA34:CC34"/>
    <mergeCell ref="CG29:CI29"/>
    <mergeCell ref="CG30:CI30"/>
    <mergeCell ref="CG31:CI31"/>
    <mergeCell ref="CG32:CI32"/>
    <mergeCell ref="CG33:CI33"/>
    <mergeCell ref="CG34:CI34"/>
    <mergeCell ref="CG28:CI28"/>
    <mergeCell ref="CD1:CF1"/>
    <mergeCell ref="CD2:CF2"/>
    <mergeCell ref="CD12:CF12"/>
    <mergeCell ref="CD13:CF13"/>
    <mergeCell ref="CD14:CF14"/>
    <mergeCell ref="CD15:CF15"/>
    <mergeCell ref="CD16:CF16"/>
    <mergeCell ref="CD17:CF17"/>
    <mergeCell ref="CD18:CF18"/>
    <mergeCell ref="CD19:CF19"/>
    <mergeCell ref="CD20:CF20"/>
    <mergeCell ref="CD21:CF21"/>
    <mergeCell ref="CD22:CF22"/>
    <mergeCell ref="CD23:CF23"/>
    <mergeCell ref="CD24:CF24"/>
    <mergeCell ref="CD25:CF25"/>
    <mergeCell ref="BX28:BZ28"/>
    <mergeCell ref="BX1:BZ1"/>
    <mergeCell ref="BX2:BZ2"/>
    <mergeCell ref="BX12:BZ12"/>
    <mergeCell ref="BX13:BZ13"/>
    <mergeCell ref="BX14:BZ14"/>
    <mergeCell ref="BX15:BZ15"/>
    <mergeCell ref="BX16:BZ16"/>
    <mergeCell ref="BX17:BZ17"/>
    <mergeCell ref="BX18:BZ18"/>
    <mergeCell ref="CD26:CF26"/>
    <mergeCell ref="CD27:CF27"/>
    <mergeCell ref="CD28:CF28"/>
    <mergeCell ref="BX29:BZ29"/>
    <mergeCell ref="BX30:BZ30"/>
    <mergeCell ref="BX31:BZ31"/>
    <mergeCell ref="BX32:BZ32"/>
    <mergeCell ref="BX33:BZ33"/>
    <mergeCell ref="BX34:BZ34"/>
    <mergeCell ref="CA1:CC1"/>
    <mergeCell ref="CA2:CC2"/>
    <mergeCell ref="CA12:CC12"/>
    <mergeCell ref="CA13:CC13"/>
    <mergeCell ref="CA14:CC14"/>
    <mergeCell ref="CA15:CC15"/>
    <mergeCell ref="CA16:CC16"/>
    <mergeCell ref="CA17:CC17"/>
    <mergeCell ref="CA18:CC18"/>
    <mergeCell ref="CA19:CC19"/>
    <mergeCell ref="CA20:CC20"/>
    <mergeCell ref="CA21:CC21"/>
    <mergeCell ref="CA22:CC22"/>
    <mergeCell ref="CA23:CC23"/>
    <mergeCell ref="CA24:CC24"/>
    <mergeCell ref="CA25:CC25"/>
    <mergeCell ref="CA26:CC26"/>
    <mergeCell ref="BX19:BZ19"/>
    <mergeCell ref="BX20:BZ20"/>
    <mergeCell ref="BX21:BZ21"/>
    <mergeCell ref="BX22:BZ22"/>
    <mergeCell ref="BX23:BZ23"/>
    <mergeCell ref="BX24:BZ24"/>
    <mergeCell ref="BX25:BZ25"/>
    <mergeCell ref="BX26:BZ26"/>
    <mergeCell ref="BX27:BZ27"/>
    <mergeCell ref="BO17:BQ17"/>
    <mergeCell ref="BO18:BQ18"/>
    <mergeCell ref="BU26:BW26"/>
    <mergeCell ref="BU27:BW27"/>
    <mergeCell ref="BU28:BW28"/>
    <mergeCell ref="BU29:BW29"/>
    <mergeCell ref="BU30:BW30"/>
    <mergeCell ref="BU31:BW31"/>
    <mergeCell ref="BU32:BW32"/>
    <mergeCell ref="BU33:BW33"/>
    <mergeCell ref="BU34:BW34"/>
    <mergeCell ref="BR27:BT27"/>
    <mergeCell ref="BR28:BT28"/>
    <mergeCell ref="BR29:BT29"/>
    <mergeCell ref="BR30:BT30"/>
    <mergeCell ref="BR31:BT31"/>
    <mergeCell ref="BR32:BT32"/>
    <mergeCell ref="BR33:BT33"/>
    <mergeCell ref="BR34:BT34"/>
    <mergeCell ref="BO19:BQ19"/>
    <mergeCell ref="BO20:BQ20"/>
    <mergeCell ref="BO21:BQ21"/>
    <mergeCell ref="BO22:BQ22"/>
    <mergeCell ref="BO23:BQ23"/>
    <mergeCell ref="BO24:BQ24"/>
    <mergeCell ref="BO25:BQ25"/>
    <mergeCell ref="BO26:BQ26"/>
    <mergeCell ref="BO27:BQ27"/>
    <mergeCell ref="BU1:BW1"/>
    <mergeCell ref="BU2:BW2"/>
    <mergeCell ref="BU12:BW12"/>
    <mergeCell ref="BU13:BW13"/>
    <mergeCell ref="BU14:BW14"/>
    <mergeCell ref="BU15:BW15"/>
    <mergeCell ref="BU16:BW16"/>
    <mergeCell ref="BU17:BW17"/>
    <mergeCell ref="BU18:BW18"/>
    <mergeCell ref="BU19:BW19"/>
    <mergeCell ref="BU20:BW20"/>
    <mergeCell ref="BU21:BW21"/>
    <mergeCell ref="BU22:BW22"/>
    <mergeCell ref="BU23:BW23"/>
    <mergeCell ref="BU24:BW24"/>
    <mergeCell ref="BU25:BW25"/>
    <mergeCell ref="BO1:BQ1"/>
    <mergeCell ref="BO2:BQ2"/>
    <mergeCell ref="BO12:BQ12"/>
    <mergeCell ref="BO13:BQ13"/>
    <mergeCell ref="BO14:BQ14"/>
    <mergeCell ref="BO15:BQ15"/>
    <mergeCell ref="BO16:BQ16"/>
    <mergeCell ref="BR1:BT1"/>
    <mergeCell ref="BR2:BT2"/>
    <mergeCell ref="BR12:BT12"/>
    <mergeCell ref="BR13:BT13"/>
    <mergeCell ref="BR14:BT14"/>
    <mergeCell ref="BR15:BT15"/>
    <mergeCell ref="BR16:BT16"/>
    <mergeCell ref="BR17:BT17"/>
    <mergeCell ref="BR18:BT18"/>
    <mergeCell ref="BR19:BT19"/>
    <mergeCell ref="BR20:BT20"/>
    <mergeCell ref="BR21:BT21"/>
    <mergeCell ref="BR22:BT22"/>
    <mergeCell ref="BR23:BT23"/>
    <mergeCell ref="BR24:BT24"/>
    <mergeCell ref="BR25:BT25"/>
    <mergeCell ref="BR26:BT26"/>
    <mergeCell ref="BL29:BN29"/>
    <mergeCell ref="BL30:BN30"/>
    <mergeCell ref="BL31:BN31"/>
    <mergeCell ref="BL32:BN32"/>
    <mergeCell ref="BL33:BN33"/>
    <mergeCell ref="BL34:BN34"/>
    <mergeCell ref="BI27:BK27"/>
    <mergeCell ref="BI28:BK28"/>
    <mergeCell ref="BI29:BK29"/>
    <mergeCell ref="BI30:BK30"/>
    <mergeCell ref="BI31:BK31"/>
    <mergeCell ref="BI32:BK32"/>
    <mergeCell ref="BI33:BK33"/>
    <mergeCell ref="BI34:BK34"/>
    <mergeCell ref="BO29:BQ29"/>
    <mergeCell ref="BO30:BQ30"/>
    <mergeCell ref="BO31:BQ31"/>
    <mergeCell ref="BO32:BQ32"/>
    <mergeCell ref="BO33:BQ33"/>
    <mergeCell ref="BO34:BQ34"/>
    <mergeCell ref="BO28:BQ28"/>
    <mergeCell ref="BL1:BN1"/>
    <mergeCell ref="BL2:BN2"/>
    <mergeCell ref="BL12:BN12"/>
    <mergeCell ref="BL13:BN13"/>
    <mergeCell ref="BL14:BN14"/>
    <mergeCell ref="BL15:BN15"/>
    <mergeCell ref="BL16:BN16"/>
    <mergeCell ref="BL17:BN17"/>
    <mergeCell ref="BL18:BN18"/>
    <mergeCell ref="BL19:BN19"/>
    <mergeCell ref="BL20:BN20"/>
    <mergeCell ref="BL21:BN21"/>
    <mergeCell ref="BL22:BN22"/>
    <mergeCell ref="BL23:BN23"/>
    <mergeCell ref="BL24:BN24"/>
    <mergeCell ref="BL25:BN25"/>
    <mergeCell ref="BF28:BH28"/>
    <mergeCell ref="BF1:BH1"/>
    <mergeCell ref="BF2:BH2"/>
    <mergeCell ref="BF12:BH12"/>
    <mergeCell ref="BF13:BH13"/>
    <mergeCell ref="BF14:BH14"/>
    <mergeCell ref="BF15:BH15"/>
    <mergeCell ref="BF16:BH16"/>
    <mergeCell ref="BF17:BH17"/>
    <mergeCell ref="BF18:BH18"/>
    <mergeCell ref="BL26:BN26"/>
    <mergeCell ref="BL27:BN27"/>
    <mergeCell ref="BL28:BN28"/>
    <mergeCell ref="BF29:BH29"/>
    <mergeCell ref="BF30:BH30"/>
    <mergeCell ref="BF31:BH31"/>
    <mergeCell ref="BF32:BH32"/>
    <mergeCell ref="BF33:BH33"/>
    <mergeCell ref="BF34:BH34"/>
    <mergeCell ref="BI1:BK1"/>
    <mergeCell ref="BI2:BK2"/>
    <mergeCell ref="BI12:BK12"/>
    <mergeCell ref="BI13:BK13"/>
    <mergeCell ref="BI14:BK14"/>
    <mergeCell ref="BI15:BK15"/>
    <mergeCell ref="BI16:BK16"/>
    <mergeCell ref="BI17:BK17"/>
    <mergeCell ref="BI18:BK18"/>
    <mergeCell ref="BI19:BK19"/>
    <mergeCell ref="BI20:BK20"/>
    <mergeCell ref="BI21:BK21"/>
    <mergeCell ref="BI22:BK22"/>
    <mergeCell ref="BI23:BK23"/>
    <mergeCell ref="BI24:BK24"/>
    <mergeCell ref="BI25:BK25"/>
    <mergeCell ref="BI26:BK26"/>
    <mergeCell ref="BF19:BH19"/>
    <mergeCell ref="BF20:BH20"/>
    <mergeCell ref="BF21:BH21"/>
    <mergeCell ref="BF22:BH22"/>
    <mergeCell ref="BF23:BH23"/>
    <mergeCell ref="BF24:BH24"/>
    <mergeCell ref="BF25:BH25"/>
    <mergeCell ref="BF26:BH26"/>
    <mergeCell ref="BF27:BH27"/>
    <mergeCell ref="AW17:AY17"/>
    <mergeCell ref="AW18:AY18"/>
    <mergeCell ref="BC26:BE26"/>
    <mergeCell ref="BC27:BE27"/>
    <mergeCell ref="BC28:BE28"/>
    <mergeCell ref="BC29:BE29"/>
    <mergeCell ref="BC30:BE30"/>
    <mergeCell ref="BC31:BE31"/>
    <mergeCell ref="BC32:BE32"/>
    <mergeCell ref="BC33:BE33"/>
    <mergeCell ref="BC34:BE34"/>
    <mergeCell ref="AZ27:BB27"/>
    <mergeCell ref="AZ28:BB28"/>
    <mergeCell ref="AZ29:BB29"/>
    <mergeCell ref="AZ30:BB30"/>
    <mergeCell ref="AZ31:BB31"/>
    <mergeCell ref="AZ32:BB32"/>
    <mergeCell ref="AZ33:BB33"/>
    <mergeCell ref="AZ34:BB34"/>
    <mergeCell ref="AW19:AY19"/>
    <mergeCell ref="AW20:AY20"/>
    <mergeCell ref="AW21:AY21"/>
    <mergeCell ref="AW22:AY22"/>
    <mergeCell ref="AW23:AY23"/>
    <mergeCell ref="AW24:AY24"/>
    <mergeCell ref="AW25:AY25"/>
    <mergeCell ref="AW26:AY26"/>
    <mergeCell ref="AW27:AY27"/>
    <mergeCell ref="BC1:BE1"/>
    <mergeCell ref="BC2:BE2"/>
    <mergeCell ref="BC12:BE12"/>
    <mergeCell ref="BC13:BE13"/>
    <mergeCell ref="BC14:BE14"/>
    <mergeCell ref="BC15:BE15"/>
    <mergeCell ref="BC16:BE16"/>
    <mergeCell ref="BC17:BE17"/>
    <mergeCell ref="BC18:BE18"/>
    <mergeCell ref="BC19:BE19"/>
    <mergeCell ref="BC20:BE20"/>
    <mergeCell ref="BC21:BE21"/>
    <mergeCell ref="BC22:BE22"/>
    <mergeCell ref="BC23:BE23"/>
    <mergeCell ref="BC24:BE24"/>
    <mergeCell ref="BC25:BE25"/>
    <mergeCell ref="AW1:AY1"/>
    <mergeCell ref="AW2:AY2"/>
    <mergeCell ref="AW12:AY12"/>
    <mergeCell ref="AW13:AY13"/>
    <mergeCell ref="AW14:AY14"/>
    <mergeCell ref="AW15:AY15"/>
    <mergeCell ref="AW16:AY16"/>
    <mergeCell ref="AZ1:BB1"/>
    <mergeCell ref="AZ2:BB2"/>
    <mergeCell ref="AZ12:BB12"/>
    <mergeCell ref="AZ13:BB13"/>
    <mergeCell ref="AZ14:BB14"/>
    <mergeCell ref="AZ15:BB15"/>
    <mergeCell ref="AZ16:BB16"/>
    <mergeCell ref="AZ17:BB17"/>
    <mergeCell ref="AZ18:BB18"/>
    <mergeCell ref="AZ19:BB19"/>
    <mergeCell ref="AZ20:BB20"/>
    <mergeCell ref="AZ21:BB21"/>
    <mergeCell ref="AZ22:BB22"/>
    <mergeCell ref="AZ23:BB23"/>
    <mergeCell ref="AZ24:BB24"/>
    <mergeCell ref="AZ25:BB25"/>
    <mergeCell ref="AZ26:BB26"/>
    <mergeCell ref="AT29:AV29"/>
    <mergeCell ref="AT30:AV30"/>
    <mergeCell ref="AT31:AV31"/>
    <mergeCell ref="AT32:AV32"/>
    <mergeCell ref="AT33:AV33"/>
    <mergeCell ref="AT34:AV34"/>
    <mergeCell ref="AQ27:AS27"/>
    <mergeCell ref="AQ28:AS28"/>
    <mergeCell ref="AQ29:AS29"/>
    <mergeCell ref="AQ30:AS30"/>
    <mergeCell ref="AQ31:AS31"/>
    <mergeCell ref="AQ32:AS32"/>
    <mergeCell ref="AQ33:AS33"/>
    <mergeCell ref="AQ34:AS34"/>
    <mergeCell ref="AW29:AY29"/>
    <mergeCell ref="AW30:AY30"/>
    <mergeCell ref="AW31:AY31"/>
    <mergeCell ref="AW32:AY32"/>
    <mergeCell ref="AW33:AY33"/>
    <mergeCell ref="AW34:AY34"/>
    <mergeCell ref="AW28:AY28"/>
    <mergeCell ref="AT1:AV1"/>
    <mergeCell ref="AT2:AV2"/>
    <mergeCell ref="AT12:AV12"/>
    <mergeCell ref="AT13:AV13"/>
    <mergeCell ref="AT14:AV14"/>
    <mergeCell ref="AT15:AV15"/>
    <mergeCell ref="AT16:AV16"/>
    <mergeCell ref="AT17:AV17"/>
    <mergeCell ref="AT18:AV18"/>
    <mergeCell ref="AT19:AV19"/>
    <mergeCell ref="AT20:AV20"/>
    <mergeCell ref="AT21:AV21"/>
    <mergeCell ref="AT22:AV22"/>
    <mergeCell ref="AT23:AV23"/>
    <mergeCell ref="AT24:AV24"/>
    <mergeCell ref="AT25:AV25"/>
    <mergeCell ref="AN28:AP28"/>
    <mergeCell ref="AN1:AP1"/>
    <mergeCell ref="AN2:AP2"/>
    <mergeCell ref="AN12:AP12"/>
    <mergeCell ref="AN13:AP13"/>
    <mergeCell ref="AN14:AP14"/>
    <mergeCell ref="AN15:AP15"/>
    <mergeCell ref="AN16:AP16"/>
    <mergeCell ref="AN17:AP17"/>
    <mergeCell ref="AN18:AP18"/>
    <mergeCell ref="AT26:AV26"/>
    <mergeCell ref="AT27:AV27"/>
    <mergeCell ref="AT28:AV28"/>
    <mergeCell ref="AN29:AP29"/>
    <mergeCell ref="AN30:AP30"/>
    <mergeCell ref="AN31:AP31"/>
    <mergeCell ref="AN32:AP32"/>
    <mergeCell ref="AN33:AP33"/>
    <mergeCell ref="AN34:AP34"/>
    <mergeCell ref="AQ1:AS1"/>
    <mergeCell ref="AQ2:AS2"/>
    <mergeCell ref="AQ12:AS12"/>
    <mergeCell ref="AQ13:AS13"/>
    <mergeCell ref="AQ14:AS14"/>
    <mergeCell ref="AQ15:AS15"/>
    <mergeCell ref="AQ16:AS16"/>
    <mergeCell ref="AQ17:AS17"/>
    <mergeCell ref="AQ18:AS18"/>
    <mergeCell ref="AQ19:AS19"/>
    <mergeCell ref="AQ20:AS20"/>
    <mergeCell ref="AQ21:AS21"/>
    <mergeCell ref="AQ22:AS22"/>
    <mergeCell ref="AQ23:AS23"/>
    <mergeCell ref="AQ24:AS24"/>
    <mergeCell ref="AQ25:AS25"/>
    <mergeCell ref="AQ26:AS26"/>
    <mergeCell ref="AN19:AP19"/>
    <mergeCell ref="AN20:AP20"/>
    <mergeCell ref="AN21:AP21"/>
    <mergeCell ref="AN22:AP22"/>
    <mergeCell ref="AN23:AP23"/>
    <mergeCell ref="AN24:AP24"/>
    <mergeCell ref="AN25:AP25"/>
    <mergeCell ref="AN26:AP26"/>
    <mergeCell ref="AN27:AP27"/>
    <mergeCell ref="AC3:AD3"/>
    <mergeCell ref="AC4:AD4"/>
    <mergeCell ref="AH1:AJ1"/>
    <mergeCell ref="AK1:AM1"/>
    <mergeCell ref="AC5:AD5"/>
    <mergeCell ref="AC6:AD6"/>
    <mergeCell ref="AC1:AD2"/>
    <mergeCell ref="AE1:AG1"/>
    <mergeCell ref="AE2:AG2"/>
    <mergeCell ref="AH2:AJ2"/>
    <mergeCell ref="AK2:AM2"/>
    <mergeCell ref="AE19:AG19"/>
    <mergeCell ref="AE22:AG22"/>
    <mergeCell ref="AE20:AG20"/>
    <mergeCell ref="AE21:AG21"/>
    <mergeCell ref="AC12:AD12"/>
    <mergeCell ref="AE14:AG14"/>
    <mergeCell ref="AC14:AD14"/>
    <mergeCell ref="AE12:AG12"/>
    <mergeCell ref="AE13:AG13"/>
    <mergeCell ref="AE18:AG18"/>
    <mergeCell ref="AC13:AD13"/>
    <mergeCell ref="AE16:AG16"/>
    <mergeCell ref="AE17:AG17"/>
    <mergeCell ref="AH16:AJ16"/>
    <mergeCell ref="AK16:AM16"/>
    <mergeCell ref="AH17:AJ17"/>
    <mergeCell ref="AK17:AM17"/>
    <mergeCell ref="AH14:AJ14"/>
    <mergeCell ref="AK14:AM14"/>
    <mergeCell ref="AH15:AJ15"/>
    <mergeCell ref="AK15:AM15"/>
    <mergeCell ref="AA45:AB45"/>
    <mergeCell ref="P43:Q43"/>
    <mergeCell ref="AA43:AB43"/>
    <mergeCell ref="AC34:AD34"/>
    <mergeCell ref="AE31:AG31"/>
    <mergeCell ref="AE34:AG34"/>
    <mergeCell ref="AC31:AD31"/>
    <mergeCell ref="AE30:AG30"/>
    <mergeCell ref="AE32:AG32"/>
    <mergeCell ref="AC29:AC30"/>
    <mergeCell ref="P44:Q44"/>
    <mergeCell ref="AA35:AB35"/>
    <mergeCell ref="P35:Q35"/>
    <mergeCell ref="P42:Q42"/>
    <mergeCell ref="P45:Q45"/>
    <mergeCell ref="AA42:AB42"/>
    <mergeCell ref="AA41:AB41"/>
    <mergeCell ref="P40:Q40"/>
    <mergeCell ref="P37:Q37"/>
    <mergeCell ref="P39:Q39"/>
    <mergeCell ref="AA39:AB39"/>
    <mergeCell ref="P36:Q36"/>
    <mergeCell ref="AA44:AB44"/>
    <mergeCell ref="P41:Q41"/>
    <mergeCell ref="AA40:AB40"/>
    <mergeCell ref="AA14:AB14"/>
    <mergeCell ref="AE15:AG15"/>
    <mergeCell ref="AC21:AC22"/>
    <mergeCell ref="K12:L13"/>
    <mergeCell ref="M12:M13"/>
    <mergeCell ref="N12:P12"/>
    <mergeCell ref="N13:P13"/>
    <mergeCell ref="N14:P14"/>
    <mergeCell ref="N15:P15"/>
    <mergeCell ref="N16:P16"/>
    <mergeCell ref="N17:P17"/>
    <mergeCell ref="AA12:AB12"/>
    <mergeCell ref="K15:M15"/>
    <mergeCell ref="K14:M14"/>
    <mergeCell ref="Q12:S12"/>
    <mergeCell ref="AE25:AG25"/>
    <mergeCell ref="AC19:AD19"/>
    <mergeCell ref="AC23:AC24"/>
    <mergeCell ref="AE23:AG23"/>
    <mergeCell ref="AC15:AC18"/>
    <mergeCell ref="Q14:S14"/>
    <mergeCell ref="Q15:S15"/>
    <mergeCell ref="Q16:S16"/>
    <mergeCell ref="Q17:S17"/>
    <mergeCell ref="AA18:AB18"/>
    <mergeCell ref="AA16:AB16"/>
    <mergeCell ref="AC27:AC28"/>
    <mergeCell ref="Y20:AB20"/>
    <mergeCell ref="AC20:AD20"/>
    <mergeCell ref="AC25:AC26"/>
    <mergeCell ref="AE33:AG33"/>
    <mergeCell ref="AC32:AC33"/>
    <mergeCell ref="AE26:AG26"/>
    <mergeCell ref="AE27:AG27"/>
    <mergeCell ref="AE28:AG28"/>
    <mergeCell ref="AE29:AG29"/>
    <mergeCell ref="AE24:AG24"/>
    <mergeCell ref="N18:P18"/>
    <mergeCell ref="P38:Q38"/>
    <mergeCell ref="AA36:AB36"/>
    <mergeCell ref="AA37:AB37"/>
    <mergeCell ref="AA38:AB38"/>
    <mergeCell ref="Q18:S18"/>
    <mergeCell ref="Q21:T21"/>
    <mergeCell ref="Q19:R19"/>
    <mergeCell ref="U20:X20"/>
    <mergeCell ref="Q20:T20"/>
    <mergeCell ref="AH12:AJ12"/>
    <mergeCell ref="AK12:AM12"/>
    <mergeCell ref="AH13:AJ13"/>
    <mergeCell ref="AK13:AM13"/>
    <mergeCell ref="AH22:AJ22"/>
    <mergeCell ref="AK22:AM22"/>
    <mergeCell ref="AH23:AJ23"/>
    <mergeCell ref="AK23:AM23"/>
    <mergeCell ref="AH20:AJ20"/>
    <mergeCell ref="AK20:AM20"/>
    <mergeCell ref="AH21:AJ21"/>
    <mergeCell ref="AK21:AM21"/>
    <mergeCell ref="AH18:AJ18"/>
    <mergeCell ref="AK18:AM18"/>
    <mergeCell ref="AH19:AJ19"/>
    <mergeCell ref="AK19:AM19"/>
    <mergeCell ref="AH28:AJ28"/>
    <mergeCell ref="AK28:AM28"/>
    <mergeCell ref="AH29:AJ29"/>
    <mergeCell ref="AK29:AM29"/>
    <mergeCell ref="AH26:AJ26"/>
    <mergeCell ref="AK26:AM26"/>
    <mergeCell ref="AH27:AJ27"/>
    <mergeCell ref="AK27:AM27"/>
    <mergeCell ref="AH24:AJ24"/>
    <mergeCell ref="AK24:AM24"/>
    <mergeCell ref="AH25:AJ25"/>
    <mergeCell ref="AK25:AM25"/>
    <mergeCell ref="AH34:AJ34"/>
    <mergeCell ref="AK34:AM34"/>
    <mergeCell ref="AH32:AJ32"/>
    <mergeCell ref="AK32:AM32"/>
    <mergeCell ref="AH33:AJ33"/>
    <mergeCell ref="AK33:AM33"/>
    <mergeCell ref="AH30:AJ30"/>
    <mergeCell ref="AK30:AM30"/>
    <mergeCell ref="AH31:AJ31"/>
    <mergeCell ref="AK31:AM31"/>
  </mergeCells>
  <phoneticPr fontId="8" type="noConversion"/>
  <conditionalFormatting sqref="L36:L45 K37:EH45">
    <cfRule type="expression" dxfId="165" priority="1586">
      <formula>$L36="N"</formula>
    </cfRule>
    <cfRule type="containsText" dxfId="164" priority="1587" operator="containsText" text="6%HT">
      <formula>NOT(ISERROR(SEARCH("6%HT",K36)))</formula>
    </cfRule>
    <cfRule type="containsText" dxfId="163" priority="1588" operator="containsText" text="OPC">
      <formula>NOT(ISERROR(SEARCH("OPC",K36)))</formula>
    </cfRule>
  </conditionalFormatting>
  <conditionalFormatting sqref="A1:I2 EX1:XFD2">
    <cfRule type="containsText" dxfId="162" priority="1558" operator="containsText" text="NG">
      <formula>NOT(ISERROR(SEARCH("NG",A1)))</formula>
    </cfRule>
  </conditionalFormatting>
  <conditionalFormatting sqref="K1:AD2">
    <cfRule type="containsText" dxfId="161" priority="1540" operator="containsText" text="NG">
      <formula>NOT(ISERROR(SEARCH("NG",K1)))</formula>
    </cfRule>
  </conditionalFormatting>
  <conditionalFormatting sqref="AE1:AG2">
    <cfRule type="containsText" dxfId="160" priority="513" operator="containsText" text="NG">
      <formula>NOT(ISERROR(SEARCH("NG",AE1)))</formula>
    </cfRule>
  </conditionalFormatting>
  <conditionalFormatting sqref="L36">
    <cfRule type="expression" dxfId="159" priority="458">
      <formula>$L36="N"</formula>
    </cfRule>
    <cfRule type="containsText" dxfId="158" priority="459" operator="containsText" text="6%HT">
      <formula>NOT(ISERROR(SEARCH("6%HT",L36)))</formula>
    </cfRule>
    <cfRule type="containsText" dxfId="157" priority="460" operator="containsText" text="OPC">
      <formula>NOT(ISERROR(SEARCH("OPC",L36)))</formula>
    </cfRule>
  </conditionalFormatting>
  <conditionalFormatting sqref="L36">
    <cfRule type="expression" dxfId="156" priority="446">
      <formula>$L36="N"</formula>
    </cfRule>
    <cfRule type="containsText" dxfId="155" priority="447" operator="containsText" text="6%HT">
      <formula>NOT(ISERROR(SEARCH("6%HT",L36)))</formula>
    </cfRule>
    <cfRule type="containsText" dxfId="154" priority="448" operator="containsText" text="OPC">
      <formula>NOT(ISERROR(SEARCH("OPC",L36)))</formula>
    </cfRule>
  </conditionalFormatting>
  <conditionalFormatting sqref="K36:AG36">
    <cfRule type="expression" dxfId="153" priority="488">
      <formula>$L36="N"</formula>
    </cfRule>
    <cfRule type="containsText" dxfId="152" priority="489" operator="containsText" text="6%HT">
      <formula>NOT(ISERROR(SEARCH("6%HT",K36)))</formula>
    </cfRule>
    <cfRule type="containsText" dxfId="151" priority="490" operator="containsText" text="OPC">
      <formula>NOT(ISERROR(SEARCH("OPC",K36)))</formula>
    </cfRule>
  </conditionalFormatting>
  <conditionalFormatting sqref="AH36:AJ36">
    <cfRule type="expression" dxfId="150" priority="404">
      <formula>$L36="N"</formula>
    </cfRule>
    <cfRule type="containsText" dxfId="149" priority="405" operator="containsText" text="6%HT">
      <formula>NOT(ISERROR(SEARCH("6%HT",AH36)))</formula>
    </cfRule>
    <cfRule type="containsText" dxfId="148" priority="406" operator="containsText" text="OPC">
      <formula>NOT(ISERROR(SEARCH("OPC",AH36)))</formula>
    </cfRule>
  </conditionalFormatting>
  <conditionalFormatting sqref="AH1:AJ2">
    <cfRule type="containsText" dxfId="147" priority="400" operator="containsText" text="NG">
      <formula>NOT(ISERROR(SEARCH("NG",AH1)))</formula>
    </cfRule>
  </conditionalFormatting>
  <conditionalFormatting sqref="AK36:AM36">
    <cfRule type="expression" dxfId="146" priority="394">
      <formula>$L36="N"</formula>
    </cfRule>
    <cfRule type="containsText" dxfId="145" priority="395" operator="containsText" text="6%HT">
      <formula>NOT(ISERROR(SEARCH("6%HT",AK36)))</formula>
    </cfRule>
    <cfRule type="containsText" dxfId="144" priority="396" operator="containsText" text="OPC">
      <formula>NOT(ISERROR(SEARCH("OPC",AK36)))</formula>
    </cfRule>
  </conditionalFormatting>
  <conditionalFormatting sqref="AK1:AM2">
    <cfRule type="containsText" dxfId="143" priority="390" operator="containsText" text="NG">
      <formula>NOT(ISERROR(SEARCH("NG",AK1)))</formula>
    </cfRule>
  </conditionalFormatting>
  <conditionalFormatting sqref="AN36:AP36">
    <cfRule type="expression" dxfId="142" priority="384">
      <formula>$L36="N"</formula>
    </cfRule>
    <cfRule type="containsText" dxfId="141" priority="385" operator="containsText" text="6%HT">
      <formula>NOT(ISERROR(SEARCH("6%HT",AN36)))</formula>
    </cfRule>
    <cfRule type="containsText" dxfId="140" priority="386" operator="containsText" text="OPC">
      <formula>NOT(ISERROR(SEARCH("OPC",AN36)))</formula>
    </cfRule>
  </conditionalFormatting>
  <conditionalFormatting sqref="AN1:AP2">
    <cfRule type="containsText" dxfId="139" priority="380" operator="containsText" text="NG">
      <formula>NOT(ISERROR(SEARCH("NG",AN1)))</formula>
    </cfRule>
  </conditionalFormatting>
  <conditionalFormatting sqref="AQ36:AS36">
    <cfRule type="expression" dxfId="138" priority="374">
      <formula>$L36="N"</formula>
    </cfRule>
    <cfRule type="containsText" dxfId="137" priority="375" operator="containsText" text="6%HT">
      <formula>NOT(ISERROR(SEARCH("6%HT",AQ36)))</formula>
    </cfRule>
    <cfRule type="containsText" dxfId="136" priority="376" operator="containsText" text="OPC">
      <formula>NOT(ISERROR(SEARCH("OPC",AQ36)))</formula>
    </cfRule>
  </conditionalFormatting>
  <conditionalFormatting sqref="AQ1:AS2">
    <cfRule type="containsText" dxfId="135" priority="370" operator="containsText" text="NG">
      <formula>NOT(ISERROR(SEARCH("NG",AQ1)))</formula>
    </cfRule>
  </conditionalFormatting>
  <conditionalFormatting sqref="AT36:AV36">
    <cfRule type="expression" dxfId="134" priority="364">
      <formula>$L36="N"</formula>
    </cfRule>
    <cfRule type="containsText" dxfId="133" priority="365" operator="containsText" text="6%HT">
      <formula>NOT(ISERROR(SEARCH("6%HT",AT36)))</formula>
    </cfRule>
    <cfRule type="containsText" dxfId="132" priority="366" operator="containsText" text="OPC">
      <formula>NOT(ISERROR(SEARCH("OPC",AT36)))</formula>
    </cfRule>
  </conditionalFormatting>
  <conditionalFormatting sqref="AT1:AV2">
    <cfRule type="containsText" dxfId="131" priority="360" operator="containsText" text="NG">
      <formula>NOT(ISERROR(SEARCH("NG",AT1)))</formula>
    </cfRule>
  </conditionalFormatting>
  <conditionalFormatting sqref="AW36:AY36">
    <cfRule type="expression" dxfId="130" priority="354">
      <formula>$L36="N"</formula>
    </cfRule>
    <cfRule type="containsText" dxfId="129" priority="355" operator="containsText" text="6%HT">
      <formula>NOT(ISERROR(SEARCH("6%HT",AW36)))</formula>
    </cfRule>
    <cfRule type="containsText" dxfId="128" priority="356" operator="containsText" text="OPC">
      <formula>NOT(ISERROR(SEARCH("OPC",AW36)))</formula>
    </cfRule>
  </conditionalFormatting>
  <conditionalFormatting sqref="AW1:AY2">
    <cfRule type="containsText" dxfId="127" priority="350" operator="containsText" text="NG">
      <formula>NOT(ISERROR(SEARCH("NG",AW1)))</formula>
    </cfRule>
  </conditionalFormatting>
  <conditionalFormatting sqref="AZ36:BB36">
    <cfRule type="expression" dxfId="126" priority="344">
      <formula>$L36="N"</formula>
    </cfRule>
    <cfRule type="containsText" dxfId="125" priority="345" operator="containsText" text="6%HT">
      <formula>NOT(ISERROR(SEARCH("6%HT",AZ36)))</formula>
    </cfRule>
    <cfRule type="containsText" dxfId="124" priority="346" operator="containsText" text="OPC">
      <formula>NOT(ISERROR(SEARCH("OPC",AZ36)))</formula>
    </cfRule>
  </conditionalFormatting>
  <conditionalFormatting sqref="AZ1:BB2">
    <cfRule type="containsText" dxfId="123" priority="340" operator="containsText" text="NG">
      <formula>NOT(ISERROR(SEARCH("NG",AZ1)))</formula>
    </cfRule>
  </conditionalFormatting>
  <conditionalFormatting sqref="BC36:BE36">
    <cfRule type="expression" dxfId="122" priority="334">
      <formula>$L36="N"</formula>
    </cfRule>
    <cfRule type="containsText" dxfId="121" priority="335" operator="containsText" text="6%HT">
      <formula>NOT(ISERROR(SEARCH("6%HT",BC36)))</formula>
    </cfRule>
    <cfRule type="containsText" dxfId="120" priority="336" operator="containsText" text="OPC">
      <formula>NOT(ISERROR(SEARCH("OPC",BC36)))</formula>
    </cfRule>
  </conditionalFormatting>
  <conditionalFormatting sqref="BC1:BE2">
    <cfRule type="containsText" dxfId="119" priority="330" operator="containsText" text="NG">
      <formula>NOT(ISERROR(SEARCH("NG",BC1)))</formula>
    </cfRule>
  </conditionalFormatting>
  <conditionalFormatting sqref="BF36:BH36">
    <cfRule type="expression" dxfId="118" priority="324">
      <formula>$L36="N"</formula>
    </cfRule>
    <cfRule type="containsText" dxfId="117" priority="325" operator="containsText" text="6%HT">
      <formula>NOT(ISERROR(SEARCH("6%HT",BF36)))</formula>
    </cfRule>
    <cfRule type="containsText" dxfId="116" priority="326" operator="containsText" text="OPC">
      <formula>NOT(ISERROR(SEARCH("OPC",BF36)))</formula>
    </cfRule>
  </conditionalFormatting>
  <conditionalFormatting sqref="BF1:BH2">
    <cfRule type="containsText" dxfId="115" priority="320" operator="containsText" text="NG">
      <formula>NOT(ISERROR(SEARCH("NG",BF1)))</formula>
    </cfRule>
  </conditionalFormatting>
  <conditionalFormatting sqref="BI36:BK36">
    <cfRule type="expression" dxfId="114" priority="314">
      <formula>$L36="N"</formula>
    </cfRule>
    <cfRule type="containsText" dxfId="113" priority="315" operator="containsText" text="6%HT">
      <formula>NOT(ISERROR(SEARCH("6%HT",BI36)))</formula>
    </cfRule>
    <cfRule type="containsText" dxfId="112" priority="316" operator="containsText" text="OPC">
      <formula>NOT(ISERROR(SEARCH("OPC",BI36)))</formula>
    </cfRule>
  </conditionalFormatting>
  <conditionalFormatting sqref="BI1:BK2">
    <cfRule type="containsText" dxfId="111" priority="310" operator="containsText" text="NG">
      <formula>NOT(ISERROR(SEARCH("NG",BI1)))</formula>
    </cfRule>
  </conditionalFormatting>
  <conditionalFormatting sqref="BL36:BN36">
    <cfRule type="expression" dxfId="110" priority="304">
      <formula>$L36="N"</formula>
    </cfRule>
    <cfRule type="containsText" dxfId="109" priority="305" operator="containsText" text="6%HT">
      <formula>NOT(ISERROR(SEARCH("6%HT",BL36)))</formula>
    </cfRule>
    <cfRule type="containsText" dxfId="108" priority="306" operator="containsText" text="OPC">
      <formula>NOT(ISERROR(SEARCH("OPC",BL36)))</formula>
    </cfRule>
  </conditionalFormatting>
  <conditionalFormatting sqref="BL1:BN2">
    <cfRule type="containsText" dxfId="107" priority="300" operator="containsText" text="NG">
      <formula>NOT(ISERROR(SEARCH("NG",BL1)))</formula>
    </cfRule>
  </conditionalFormatting>
  <conditionalFormatting sqref="BO36:BQ36">
    <cfRule type="expression" dxfId="106" priority="294">
      <formula>$L36="N"</formula>
    </cfRule>
    <cfRule type="containsText" dxfId="105" priority="295" operator="containsText" text="6%HT">
      <formula>NOT(ISERROR(SEARCH("6%HT",BO36)))</formula>
    </cfRule>
    <cfRule type="containsText" dxfId="104" priority="296" operator="containsText" text="OPC">
      <formula>NOT(ISERROR(SEARCH("OPC",BO36)))</formula>
    </cfRule>
  </conditionalFormatting>
  <conditionalFormatting sqref="BO1:BQ2">
    <cfRule type="containsText" dxfId="103" priority="290" operator="containsText" text="NG">
      <formula>NOT(ISERROR(SEARCH("NG",BO1)))</formula>
    </cfRule>
  </conditionalFormatting>
  <conditionalFormatting sqref="BR36:BT36">
    <cfRule type="expression" dxfId="102" priority="284">
      <formula>$L36="N"</formula>
    </cfRule>
    <cfRule type="containsText" dxfId="101" priority="285" operator="containsText" text="6%HT">
      <formula>NOT(ISERROR(SEARCH("6%HT",BR36)))</formula>
    </cfRule>
    <cfRule type="containsText" dxfId="100" priority="286" operator="containsText" text="OPC">
      <formula>NOT(ISERROR(SEARCH("OPC",BR36)))</formula>
    </cfRule>
  </conditionalFormatting>
  <conditionalFormatting sqref="BR1:BT2">
    <cfRule type="containsText" dxfId="99" priority="280" operator="containsText" text="NG">
      <formula>NOT(ISERROR(SEARCH("NG",BR1)))</formula>
    </cfRule>
  </conditionalFormatting>
  <conditionalFormatting sqref="BU36:BW36">
    <cfRule type="expression" dxfId="98" priority="274">
      <formula>$L36="N"</formula>
    </cfRule>
    <cfRule type="containsText" dxfId="97" priority="275" operator="containsText" text="6%HT">
      <formula>NOT(ISERROR(SEARCH("6%HT",BU36)))</formula>
    </cfRule>
    <cfRule type="containsText" dxfId="96" priority="276" operator="containsText" text="OPC">
      <formula>NOT(ISERROR(SEARCH("OPC",BU36)))</formula>
    </cfRule>
  </conditionalFormatting>
  <conditionalFormatting sqref="BU1:BW2">
    <cfRule type="containsText" dxfId="95" priority="270" operator="containsText" text="NG">
      <formula>NOT(ISERROR(SEARCH("NG",BU1)))</formula>
    </cfRule>
  </conditionalFormatting>
  <conditionalFormatting sqref="BX36:BZ36">
    <cfRule type="expression" dxfId="94" priority="264">
      <formula>$L36="N"</formula>
    </cfRule>
    <cfRule type="containsText" dxfId="93" priority="265" operator="containsText" text="6%HT">
      <formula>NOT(ISERROR(SEARCH("6%HT",BX36)))</formula>
    </cfRule>
    <cfRule type="containsText" dxfId="92" priority="266" operator="containsText" text="OPC">
      <formula>NOT(ISERROR(SEARCH("OPC",BX36)))</formula>
    </cfRule>
  </conditionalFormatting>
  <conditionalFormatting sqref="BX1:BZ2">
    <cfRule type="containsText" dxfId="91" priority="260" operator="containsText" text="NG">
      <formula>NOT(ISERROR(SEARCH("NG",BX1)))</formula>
    </cfRule>
  </conditionalFormatting>
  <conditionalFormatting sqref="CA36:CC36">
    <cfRule type="expression" dxfId="90" priority="254">
      <formula>$L36="N"</formula>
    </cfRule>
    <cfRule type="containsText" dxfId="89" priority="255" operator="containsText" text="6%HT">
      <formula>NOT(ISERROR(SEARCH("6%HT",CA36)))</formula>
    </cfRule>
    <cfRule type="containsText" dxfId="88" priority="256" operator="containsText" text="OPC">
      <formula>NOT(ISERROR(SEARCH("OPC",CA36)))</formula>
    </cfRule>
  </conditionalFormatting>
  <conditionalFormatting sqref="CA1:CC2">
    <cfRule type="containsText" dxfId="87" priority="250" operator="containsText" text="NG">
      <formula>NOT(ISERROR(SEARCH("NG",CA1)))</formula>
    </cfRule>
  </conditionalFormatting>
  <conditionalFormatting sqref="CD36:CF36">
    <cfRule type="expression" dxfId="86" priority="244">
      <formula>$L36="N"</formula>
    </cfRule>
    <cfRule type="containsText" dxfId="85" priority="245" operator="containsText" text="6%HT">
      <formula>NOT(ISERROR(SEARCH("6%HT",CD36)))</formula>
    </cfRule>
    <cfRule type="containsText" dxfId="84" priority="246" operator="containsText" text="OPC">
      <formula>NOT(ISERROR(SEARCH("OPC",CD36)))</formula>
    </cfRule>
  </conditionalFormatting>
  <conditionalFormatting sqref="CD1:CF2">
    <cfRule type="containsText" dxfId="83" priority="240" operator="containsText" text="NG">
      <formula>NOT(ISERROR(SEARCH("NG",CD1)))</formula>
    </cfRule>
  </conditionalFormatting>
  <conditionalFormatting sqref="CG36:CI36">
    <cfRule type="expression" dxfId="82" priority="234">
      <formula>$L36="N"</formula>
    </cfRule>
    <cfRule type="containsText" dxfId="81" priority="235" operator="containsText" text="6%HT">
      <formula>NOT(ISERROR(SEARCH("6%HT",CG36)))</formula>
    </cfRule>
    <cfRule type="containsText" dxfId="80" priority="236" operator="containsText" text="OPC">
      <formula>NOT(ISERROR(SEARCH("OPC",CG36)))</formula>
    </cfRule>
  </conditionalFormatting>
  <conditionalFormatting sqref="CG1:CI2">
    <cfRule type="containsText" dxfId="79" priority="230" operator="containsText" text="NG">
      <formula>NOT(ISERROR(SEARCH("NG",CG1)))</formula>
    </cfRule>
  </conditionalFormatting>
  <conditionalFormatting sqref="CJ36:CL36">
    <cfRule type="expression" dxfId="78" priority="224">
      <formula>$L36="N"</formula>
    </cfRule>
    <cfRule type="containsText" dxfId="77" priority="225" operator="containsText" text="6%HT">
      <formula>NOT(ISERROR(SEARCH("6%HT",CJ36)))</formula>
    </cfRule>
    <cfRule type="containsText" dxfId="76" priority="226" operator="containsText" text="OPC">
      <formula>NOT(ISERROR(SEARCH("OPC",CJ36)))</formula>
    </cfRule>
  </conditionalFormatting>
  <conditionalFormatting sqref="CJ1:CL2">
    <cfRule type="containsText" dxfId="75" priority="220" operator="containsText" text="NG">
      <formula>NOT(ISERROR(SEARCH("NG",CJ1)))</formula>
    </cfRule>
  </conditionalFormatting>
  <conditionalFormatting sqref="CM36:CO36">
    <cfRule type="expression" dxfId="74" priority="214">
      <formula>$L36="N"</formula>
    </cfRule>
    <cfRule type="containsText" dxfId="73" priority="215" operator="containsText" text="6%HT">
      <formula>NOT(ISERROR(SEARCH("6%HT",CM36)))</formula>
    </cfRule>
    <cfRule type="containsText" dxfId="72" priority="216" operator="containsText" text="OPC">
      <formula>NOT(ISERROR(SEARCH("OPC",CM36)))</formula>
    </cfRule>
  </conditionalFormatting>
  <conditionalFormatting sqref="CM1:CO2">
    <cfRule type="containsText" dxfId="71" priority="210" operator="containsText" text="NG">
      <formula>NOT(ISERROR(SEARCH("NG",CM1)))</formula>
    </cfRule>
  </conditionalFormatting>
  <conditionalFormatting sqref="CP36:CR36">
    <cfRule type="expression" dxfId="70" priority="204">
      <formula>$L36="N"</formula>
    </cfRule>
    <cfRule type="containsText" dxfId="69" priority="205" operator="containsText" text="6%HT">
      <formula>NOT(ISERROR(SEARCH("6%HT",CP36)))</formula>
    </cfRule>
    <cfRule type="containsText" dxfId="68" priority="206" operator="containsText" text="OPC">
      <formula>NOT(ISERROR(SEARCH("OPC",CP36)))</formula>
    </cfRule>
  </conditionalFormatting>
  <conditionalFormatting sqref="CP1:CR2">
    <cfRule type="containsText" dxfId="67" priority="200" operator="containsText" text="NG">
      <formula>NOT(ISERROR(SEARCH("NG",CP1)))</formula>
    </cfRule>
  </conditionalFormatting>
  <conditionalFormatting sqref="CS36:CU36">
    <cfRule type="expression" dxfId="66" priority="194">
      <formula>$L36="N"</formula>
    </cfRule>
    <cfRule type="containsText" dxfId="65" priority="195" operator="containsText" text="6%HT">
      <formula>NOT(ISERROR(SEARCH("6%HT",CS36)))</formula>
    </cfRule>
    <cfRule type="containsText" dxfId="64" priority="196" operator="containsText" text="OPC">
      <formula>NOT(ISERROR(SEARCH("OPC",CS36)))</formula>
    </cfRule>
  </conditionalFormatting>
  <conditionalFormatting sqref="CS1:CU2">
    <cfRule type="containsText" dxfId="63" priority="190" operator="containsText" text="NG">
      <formula>NOT(ISERROR(SEARCH("NG",CS1)))</formula>
    </cfRule>
  </conditionalFormatting>
  <conditionalFormatting sqref="CV36:CX36">
    <cfRule type="expression" dxfId="62" priority="184">
      <formula>$L36="N"</formula>
    </cfRule>
    <cfRule type="containsText" dxfId="61" priority="185" operator="containsText" text="6%HT">
      <formula>NOT(ISERROR(SEARCH("6%HT",CV36)))</formula>
    </cfRule>
    <cfRule type="containsText" dxfId="60" priority="186" operator="containsText" text="OPC">
      <formula>NOT(ISERROR(SEARCH("OPC",CV36)))</formula>
    </cfRule>
  </conditionalFormatting>
  <conditionalFormatting sqref="CV1:CX2">
    <cfRule type="containsText" dxfId="59" priority="180" operator="containsText" text="NG">
      <formula>NOT(ISERROR(SEARCH("NG",CV1)))</formula>
    </cfRule>
  </conditionalFormatting>
  <conditionalFormatting sqref="CY36:DA36">
    <cfRule type="expression" dxfId="58" priority="174">
      <formula>$L36="N"</formula>
    </cfRule>
    <cfRule type="containsText" dxfId="57" priority="175" operator="containsText" text="6%HT">
      <formula>NOT(ISERROR(SEARCH("6%HT",CY36)))</formula>
    </cfRule>
    <cfRule type="containsText" dxfId="56" priority="176" operator="containsText" text="OPC">
      <formula>NOT(ISERROR(SEARCH("OPC",CY36)))</formula>
    </cfRule>
  </conditionalFormatting>
  <conditionalFormatting sqref="CY1:DA2">
    <cfRule type="containsText" dxfId="55" priority="170" operator="containsText" text="NG">
      <formula>NOT(ISERROR(SEARCH("NG",CY1)))</formula>
    </cfRule>
  </conditionalFormatting>
  <conditionalFormatting sqref="DB36:DD36">
    <cfRule type="expression" dxfId="54" priority="164">
      <formula>$L36="N"</formula>
    </cfRule>
    <cfRule type="containsText" dxfId="53" priority="165" operator="containsText" text="6%HT">
      <formula>NOT(ISERROR(SEARCH("6%HT",DB36)))</formula>
    </cfRule>
    <cfRule type="containsText" dxfId="52" priority="166" operator="containsText" text="OPC">
      <formula>NOT(ISERROR(SEARCH("OPC",DB36)))</formula>
    </cfRule>
  </conditionalFormatting>
  <conditionalFormatting sqref="DB1:DD2">
    <cfRule type="containsText" dxfId="51" priority="160" operator="containsText" text="NG">
      <formula>NOT(ISERROR(SEARCH("NG",DB1)))</formula>
    </cfRule>
  </conditionalFormatting>
  <conditionalFormatting sqref="DE36:DG36">
    <cfRule type="expression" dxfId="50" priority="154">
      <formula>$L36="N"</formula>
    </cfRule>
    <cfRule type="containsText" dxfId="49" priority="155" operator="containsText" text="6%HT">
      <formula>NOT(ISERROR(SEARCH("6%HT",DE36)))</formula>
    </cfRule>
    <cfRule type="containsText" dxfId="48" priority="156" operator="containsText" text="OPC">
      <formula>NOT(ISERROR(SEARCH("OPC",DE36)))</formula>
    </cfRule>
  </conditionalFormatting>
  <conditionalFormatting sqref="DE1:DG2">
    <cfRule type="containsText" dxfId="47" priority="150" operator="containsText" text="NG">
      <formula>NOT(ISERROR(SEARCH("NG",DE1)))</formula>
    </cfRule>
  </conditionalFormatting>
  <conditionalFormatting sqref="DH36:DJ36">
    <cfRule type="expression" dxfId="46" priority="144">
      <formula>$L36="N"</formula>
    </cfRule>
    <cfRule type="containsText" dxfId="45" priority="145" operator="containsText" text="6%HT">
      <formula>NOT(ISERROR(SEARCH("6%HT",DH36)))</formula>
    </cfRule>
    <cfRule type="containsText" dxfId="44" priority="146" operator="containsText" text="OPC">
      <formula>NOT(ISERROR(SEARCH("OPC",DH36)))</formula>
    </cfRule>
  </conditionalFormatting>
  <conditionalFormatting sqref="DH1:DJ2">
    <cfRule type="containsText" dxfId="43" priority="140" operator="containsText" text="NG">
      <formula>NOT(ISERROR(SEARCH("NG",DH1)))</formula>
    </cfRule>
  </conditionalFormatting>
  <conditionalFormatting sqref="DK36:DM36">
    <cfRule type="expression" dxfId="42" priority="134">
      <formula>$L36="N"</formula>
    </cfRule>
    <cfRule type="containsText" dxfId="41" priority="135" operator="containsText" text="6%HT">
      <formula>NOT(ISERROR(SEARCH("6%HT",DK36)))</formula>
    </cfRule>
    <cfRule type="containsText" dxfId="40" priority="136" operator="containsText" text="OPC">
      <formula>NOT(ISERROR(SEARCH("OPC",DK36)))</formula>
    </cfRule>
  </conditionalFormatting>
  <conditionalFormatting sqref="DK1:DM2">
    <cfRule type="containsText" dxfId="39" priority="130" operator="containsText" text="NG">
      <formula>NOT(ISERROR(SEARCH("NG",DK1)))</formula>
    </cfRule>
  </conditionalFormatting>
  <conditionalFormatting sqref="DN36:DP36">
    <cfRule type="expression" dxfId="38" priority="124">
      <formula>$L36="N"</formula>
    </cfRule>
    <cfRule type="containsText" dxfId="37" priority="125" operator="containsText" text="6%HT">
      <formula>NOT(ISERROR(SEARCH("6%HT",DN36)))</formula>
    </cfRule>
    <cfRule type="containsText" dxfId="36" priority="126" operator="containsText" text="OPC">
      <formula>NOT(ISERROR(SEARCH("OPC",DN36)))</formula>
    </cfRule>
  </conditionalFormatting>
  <conditionalFormatting sqref="DN1:DP2">
    <cfRule type="containsText" dxfId="35" priority="120" operator="containsText" text="NG">
      <formula>NOT(ISERROR(SEARCH("NG",DN1)))</formula>
    </cfRule>
  </conditionalFormatting>
  <conditionalFormatting sqref="DQ36:DS36">
    <cfRule type="expression" dxfId="34" priority="114">
      <formula>$L36="N"</formula>
    </cfRule>
    <cfRule type="containsText" dxfId="33" priority="115" operator="containsText" text="6%HT">
      <formula>NOT(ISERROR(SEARCH("6%HT",DQ36)))</formula>
    </cfRule>
    <cfRule type="containsText" dxfId="32" priority="116" operator="containsText" text="OPC">
      <formula>NOT(ISERROR(SEARCH("OPC",DQ36)))</formula>
    </cfRule>
  </conditionalFormatting>
  <conditionalFormatting sqref="DQ1:DS2">
    <cfRule type="containsText" dxfId="31" priority="110" operator="containsText" text="NG">
      <formula>NOT(ISERROR(SEARCH("NG",DQ1)))</formula>
    </cfRule>
  </conditionalFormatting>
  <conditionalFormatting sqref="DT36:DV36">
    <cfRule type="expression" dxfId="30" priority="104">
      <formula>$L36="N"</formula>
    </cfRule>
    <cfRule type="containsText" dxfId="29" priority="105" operator="containsText" text="6%HT">
      <formula>NOT(ISERROR(SEARCH("6%HT",DT36)))</formula>
    </cfRule>
    <cfRule type="containsText" dxfId="28" priority="106" operator="containsText" text="OPC">
      <formula>NOT(ISERROR(SEARCH("OPC",DT36)))</formula>
    </cfRule>
  </conditionalFormatting>
  <conditionalFormatting sqref="DT1:DV2">
    <cfRule type="containsText" dxfId="27" priority="100" operator="containsText" text="NG">
      <formula>NOT(ISERROR(SEARCH("NG",DT1)))</formula>
    </cfRule>
  </conditionalFormatting>
  <conditionalFormatting sqref="DW36:DY36">
    <cfRule type="expression" dxfId="26" priority="94">
      <formula>$L36="N"</formula>
    </cfRule>
    <cfRule type="containsText" dxfId="25" priority="95" operator="containsText" text="6%HT">
      <formula>NOT(ISERROR(SEARCH("6%HT",DW36)))</formula>
    </cfRule>
    <cfRule type="containsText" dxfId="24" priority="96" operator="containsText" text="OPC">
      <formula>NOT(ISERROR(SEARCH("OPC",DW36)))</formula>
    </cfRule>
  </conditionalFormatting>
  <conditionalFormatting sqref="DW1:DY2">
    <cfRule type="containsText" dxfId="23" priority="90" operator="containsText" text="NG">
      <formula>NOT(ISERROR(SEARCH("NG",DW1)))</formula>
    </cfRule>
  </conditionalFormatting>
  <conditionalFormatting sqref="DZ36:EB36">
    <cfRule type="expression" dxfId="22" priority="84">
      <formula>$L36="N"</formula>
    </cfRule>
    <cfRule type="containsText" dxfId="21" priority="85" operator="containsText" text="6%HT">
      <formula>NOT(ISERROR(SEARCH("6%HT",DZ36)))</formula>
    </cfRule>
    <cfRule type="containsText" dxfId="20" priority="86" operator="containsText" text="OPC">
      <formula>NOT(ISERROR(SEARCH("OPC",DZ36)))</formula>
    </cfRule>
  </conditionalFormatting>
  <conditionalFormatting sqref="DZ1:EB2">
    <cfRule type="containsText" dxfId="19" priority="80" operator="containsText" text="NG">
      <formula>NOT(ISERROR(SEARCH("NG",DZ1)))</formula>
    </cfRule>
  </conditionalFormatting>
  <conditionalFormatting sqref="EC36:EE36">
    <cfRule type="expression" dxfId="18" priority="74">
      <formula>$L36="N"</formula>
    </cfRule>
    <cfRule type="containsText" dxfId="17" priority="75" operator="containsText" text="6%HT">
      <formula>NOT(ISERROR(SEARCH("6%HT",EC36)))</formula>
    </cfRule>
    <cfRule type="containsText" dxfId="16" priority="76" operator="containsText" text="OPC">
      <formula>NOT(ISERROR(SEARCH("OPC",EC36)))</formula>
    </cfRule>
  </conditionalFormatting>
  <conditionalFormatting sqref="EC1:EE2">
    <cfRule type="containsText" dxfId="15" priority="70" operator="containsText" text="NG">
      <formula>NOT(ISERROR(SEARCH("NG",EC1)))</formula>
    </cfRule>
  </conditionalFormatting>
  <conditionalFormatting sqref="EF36:EH36">
    <cfRule type="expression" dxfId="14" priority="64">
      <formula>$L36="N"</formula>
    </cfRule>
    <cfRule type="containsText" dxfId="13" priority="65" operator="containsText" text="6%HT">
      <formula>NOT(ISERROR(SEARCH("6%HT",EF36)))</formula>
    </cfRule>
    <cfRule type="containsText" dxfId="12" priority="66" operator="containsText" text="OPC">
      <formula>NOT(ISERROR(SEARCH("OPC",EF36)))</formula>
    </cfRule>
  </conditionalFormatting>
  <conditionalFormatting sqref="EF1:EH2">
    <cfRule type="containsText" dxfId="11" priority="60" operator="containsText" text="NG">
      <formula>NOT(ISERROR(SEARCH("NG",EF1)))</formula>
    </cfRule>
  </conditionalFormatting>
  <conditionalFormatting sqref="EI1:EK2">
    <cfRule type="containsText" dxfId="10" priority="50" operator="containsText" text="NG">
      <formula>NOT(ISERROR(SEARCH("NG",EI1)))</formula>
    </cfRule>
  </conditionalFormatting>
  <conditionalFormatting sqref="EL1:EN2">
    <cfRule type="containsText" dxfId="9" priority="40" operator="containsText" text="NG">
      <formula>NOT(ISERROR(SEARCH("NG",EL1)))</formula>
    </cfRule>
  </conditionalFormatting>
  <conditionalFormatting sqref="EO1:EQ2">
    <cfRule type="containsText" dxfId="8" priority="30" operator="containsText" text="NG">
      <formula>NOT(ISERROR(SEARCH("NG",EO1)))</formula>
    </cfRule>
  </conditionalFormatting>
  <conditionalFormatting sqref="ER1:ET2">
    <cfRule type="containsText" dxfId="7" priority="20" operator="containsText" text="NG">
      <formula>NOT(ISERROR(SEARCH("NG",ER1)))</formula>
    </cfRule>
  </conditionalFormatting>
  <conditionalFormatting sqref="EU1:EW2">
    <cfRule type="containsText" dxfId="6" priority="10" operator="containsText" text="NG">
      <formula>NOT(ISERROR(SEARCH("NG",EU1)))</formula>
    </cfRule>
  </conditionalFormatting>
  <conditionalFormatting sqref="EI37:EW45">
    <cfRule type="expression" dxfId="5" priority="4">
      <formula>$L37="N"</formula>
    </cfRule>
    <cfRule type="containsText" dxfId="4" priority="5" operator="containsText" text="6%HT">
      <formula>NOT(ISERROR(SEARCH("6%HT",EI37)))</formula>
    </cfRule>
    <cfRule type="containsText" dxfId="3" priority="6" operator="containsText" text="OPC">
      <formula>NOT(ISERROR(SEARCH("OPC",EI37)))</formula>
    </cfRule>
  </conditionalFormatting>
  <conditionalFormatting sqref="EI36:EW36">
    <cfRule type="expression" dxfId="2" priority="1">
      <formula>$L36="N"</formula>
    </cfRule>
    <cfRule type="containsText" dxfId="1" priority="2" operator="containsText" text="6%HT">
      <formula>NOT(ISERROR(SEARCH("6%HT",EI36)))</formula>
    </cfRule>
    <cfRule type="containsText" dxfId="0" priority="3" operator="containsText" text="OPC">
      <formula>NOT(ISERROR(SEARCH("OPC",EI36)))</formula>
    </cfRule>
  </conditionalFormatting>
  <dataValidations xWindow="353" yWindow="363" count="4">
    <dataValidation type="list" allowBlank="1" showInputMessage="1" showErrorMessage="1" errorTitle="ERROR" error="&quot;8A&quot; or &quot;PSC-P1&quot;" promptTitle="FAB:" prompt="8A_x000a_8B_x000a_P1_x000a_P2_x000a_P1/2_x000a_P3_x000a_P5" sqref="Q15:S15">
      <formula1>$O$11:$AB$11</formula1>
    </dataValidation>
    <dataValidation type="list" allowBlank="1" showInputMessage="1" showErrorMessage="1" promptTitle="frame type:" prompt="Shuttle : Multi-Process_x000a_Non-Array : Single-Process_x000a_●Array_x000a_●Non-Array_x000a_●MLM_x000a_●Shuttle_x000a_●MLM_NonArray_x000a_●MLM_Shuttle_x000a_●Drop-in" sqref="N17:P17">
      <formula1>$O$10:$AB$10</formula1>
    </dataValidation>
    <dataValidation allowBlank="1" showInputMessage="1" showErrorMessage="1" prompt="seal ring X/Y 設定方向同 frame width" sqref="Q19:S19"/>
    <dataValidation allowBlank="1" showInputMessage="1" showErrorMessage="1" promptTitle="遮光帶:" prompt="2X Mask = 500 um_x000a_4X Mask = 375 um_x000a_5X Mask = 300 um (因應日後可能會出2X MASK, 遮光帶使用500um)_x000a__x000a_Product included ASML mask : 625um_x000a_" sqref="Q21:T21"/>
  </dataValidations>
  <printOptions horizontalCentered="1"/>
  <pageMargins left="0.39370078740157483" right="0.39370078740157483" top="0.39370078740157483" bottom="0.39370078740157483" header="0.19685039370078741" footer="0.19685039370078741"/>
  <pageSetup paperSize="9" scale="41" orientation="landscape" r:id="rId1"/>
  <headerFooter alignWithMargins="0">
    <oddFooter>&amp;C&amp;"Arial,標準"( &amp;P / &amp;N )</oddFooter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BJ248"/>
  <sheetViews>
    <sheetView topLeftCell="A10" zoomScale="75" zoomScaleNormal="75" workbookViewId="0">
      <selection activeCell="AD27" sqref="AD27"/>
    </sheetView>
  </sheetViews>
  <sheetFormatPr defaultRowHeight="18" customHeight="1"/>
  <cols>
    <col min="1" max="1" width="4.625" style="18" customWidth="1"/>
    <col min="2" max="2" width="25.625" style="37" customWidth="1"/>
    <col min="3" max="4" width="10.625" style="94" customWidth="1"/>
    <col min="5" max="5" width="6.625" style="18" customWidth="1"/>
    <col min="6" max="10" width="13.125" style="18" customWidth="1"/>
    <col min="11" max="11" width="4.625" style="28" customWidth="1"/>
    <col min="12" max="12" width="15.625" style="38" customWidth="1"/>
    <col min="13" max="14" width="7.625" style="28" customWidth="1"/>
    <col min="15" max="15" width="6.625" style="28" customWidth="1"/>
    <col min="16" max="17" width="4.625" style="28" customWidth="1"/>
    <col min="18" max="18" width="15.625" style="38" customWidth="1"/>
    <col min="19" max="20" width="7.625" style="28" customWidth="1"/>
    <col min="21" max="21" width="6.625" style="28" customWidth="1"/>
    <col min="22" max="23" width="4.625" style="28" customWidth="1"/>
    <col min="24" max="24" width="15.625" style="38" customWidth="1"/>
    <col min="25" max="26" width="7.625" style="28" customWidth="1"/>
    <col min="27" max="27" width="6.625" style="28" customWidth="1"/>
    <col min="28" max="29" width="4.625" style="28" customWidth="1"/>
    <col min="30" max="30" width="15.625" style="38" customWidth="1"/>
    <col min="31" max="32" width="7.625" style="28" customWidth="1"/>
    <col min="33" max="33" width="6.625" style="28" customWidth="1"/>
    <col min="34" max="35" width="4.625" style="28" customWidth="1"/>
    <col min="36" max="36" width="15.625" style="38" customWidth="1"/>
    <col min="37" max="38" width="7.625" style="28" customWidth="1"/>
    <col min="39" max="39" width="6.625" style="28" customWidth="1"/>
    <col min="40" max="41" width="4.625" style="28" customWidth="1"/>
    <col min="42" max="42" width="15.625" style="38" customWidth="1"/>
    <col min="43" max="44" width="7.625" style="28" customWidth="1"/>
    <col min="45" max="45" width="6.625" style="28" customWidth="1"/>
    <col min="46" max="47" width="4.625" style="28" customWidth="1"/>
    <col min="48" max="48" width="15.625" style="38" customWidth="1"/>
    <col min="49" max="50" width="7.625" style="28" customWidth="1"/>
    <col min="51" max="51" width="6.625" style="28" customWidth="1"/>
    <col min="52" max="53" width="9" style="28"/>
    <col min="54" max="54" width="9" style="38"/>
    <col min="55" max="56" width="9" style="28"/>
    <col min="57" max="16384" width="9" style="18"/>
  </cols>
  <sheetData>
    <row r="1" spans="1:62" ht="69.95" customHeight="1">
      <c r="B1" s="36"/>
    </row>
    <row r="2" spans="1:62" ht="21" thickBot="1">
      <c r="A2" s="68"/>
      <c r="B2" s="27" t="s">
        <v>60</v>
      </c>
      <c r="C2" s="95"/>
      <c r="D2" s="95"/>
      <c r="E2" s="68"/>
      <c r="F2" s="68"/>
      <c r="G2" s="68"/>
      <c r="H2" s="68"/>
      <c r="I2" s="68"/>
      <c r="J2" s="68"/>
      <c r="K2" s="86"/>
      <c r="L2" s="86"/>
      <c r="M2" s="86"/>
      <c r="N2" s="86"/>
      <c r="O2" s="86"/>
      <c r="P2" s="87"/>
      <c r="Q2" s="86"/>
      <c r="R2" s="86"/>
      <c r="S2" s="86"/>
      <c r="T2" s="86"/>
      <c r="U2" s="86"/>
      <c r="V2" s="87"/>
      <c r="W2" s="86"/>
      <c r="X2" s="86"/>
      <c r="Y2" s="86"/>
      <c r="Z2" s="86"/>
      <c r="AA2" s="86"/>
    </row>
    <row r="3" spans="1:62" ht="17.25" thickBot="1">
      <c r="A3" s="19" t="s">
        <v>20</v>
      </c>
      <c r="B3" s="20" t="s">
        <v>3</v>
      </c>
      <c r="C3" s="96" t="s">
        <v>1</v>
      </c>
      <c r="D3" s="96" t="s">
        <v>4</v>
      </c>
      <c r="E3" s="21" t="s">
        <v>5</v>
      </c>
      <c r="F3" s="23"/>
      <c r="G3" s="23"/>
      <c r="H3" s="23"/>
      <c r="I3" s="23"/>
      <c r="J3" s="23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</row>
    <row r="4" spans="1:62" s="22" customFormat="1" ht="18" customHeight="1">
      <c r="A4" s="39"/>
      <c r="B4" s="77" t="s">
        <v>290</v>
      </c>
      <c r="C4" s="54">
        <v>0</v>
      </c>
      <c r="D4" s="54">
        <v>0</v>
      </c>
      <c r="E4" s="54">
        <v>0</v>
      </c>
      <c r="F4" s="53"/>
      <c r="G4" s="53"/>
      <c r="H4" s="53"/>
      <c r="I4" s="53"/>
      <c r="J4" s="53"/>
      <c r="K4" s="29"/>
      <c r="L4" s="79"/>
      <c r="M4" s="53"/>
      <c r="N4" s="53"/>
      <c r="O4" s="53"/>
      <c r="P4" s="53"/>
      <c r="Q4" s="29"/>
      <c r="R4" s="79"/>
      <c r="S4" s="53"/>
      <c r="T4" s="53"/>
      <c r="U4" s="53"/>
      <c r="V4" s="53"/>
      <c r="W4" s="29"/>
      <c r="X4" s="79"/>
      <c r="Y4" s="53"/>
      <c r="Z4" s="53"/>
      <c r="AA4" s="53"/>
      <c r="AB4" s="53"/>
      <c r="AC4" s="29"/>
      <c r="AD4" s="79"/>
      <c r="AE4" s="53"/>
      <c r="AF4" s="53"/>
      <c r="AG4" s="53"/>
      <c r="AH4" s="53"/>
      <c r="AI4" s="29"/>
      <c r="AJ4" s="79"/>
      <c r="AK4" s="53"/>
      <c r="AL4" s="53"/>
      <c r="AM4" s="53"/>
      <c r="AN4" s="53"/>
      <c r="AO4" s="29"/>
      <c r="AP4" s="79"/>
      <c r="AQ4" s="53"/>
      <c r="AR4" s="53"/>
      <c r="AS4" s="53"/>
      <c r="AT4" s="53"/>
      <c r="AU4" s="29"/>
      <c r="AV4" s="79"/>
      <c r="AW4" s="53"/>
      <c r="AX4" s="53"/>
      <c r="AY4" s="53"/>
      <c r="AZ4" s="53"/>
      <c r="BA4" s="53"/>
      <c r="BB4" s="53"/>
      <c r="BC4" s="53"/>
      <c r="BD4" s="53"/>
      <c r="BE4" s="52"/>
      <c r="BF4" s="52"/>
      <c r="BG4" s="52"/>
      <c r="BH4" s="52"/>
      <c r="BI4" s="52"/>
      <c r="BJ4" s="52"/>
    </row>
    <row r="5" spans="1:62" s="22" customFormat="1" ht="18" customHeight="1">
      <c r="A5" s="40"/>
      <c r="B5" s="78" t="s">
        <v>291</v>
      </c>
      <c r="C5" s="51">
        <v>0</v>
      </c>
      <c r="D5" s="51">
        <v>0</v>
      </c>
      <c r="E5" s="51" t="s">
        <v>175</v>
      </c>
      <c r="F5" s="53"/>
      <c r="G5" s="53"/>
      <c r="H5" s="53"/>
      <c r="I5" s="53"/>
      <c r="J5" s="53"/>
      <c r="K5" s="29"/>
      <c r="L5" s="79"/>
      <c r="M5" s="53"/>
      <c r="N5" s="53"/>
      <c r="O5" s="53"/>
      <c r="P5" s="53"/>
      <c r="Q5" s="29"/>
      <c r="R5" s="79"/>
      <c r="S5" s="53"/>
      <c r="T5" s="53"/>
      <c r="U5" s="53"/>
      <c r="V5" s="53"/>
      <c r="W5" s="29"/>
      <c r="X5" s="79"/>
      <c r="Y5" s="53"/>
      <c r="Z5" s="53"/>
      <c r="AA5" s="53"/>
      <c r="AB5" s="53"/>
      <c r="AC5" s="29"/>
      <c r="AD5" s="79"/>
      <c r="AE5" s="53"/>
      <c r="AF5" s="53"/>
      <c r="AG5" s="53"/>
      <c r="AH5" s="53"/>
      <c r="AI5" s="29"/>
      <c r="AJ5" s="79"/>
      <c r="AK5" s="53"/>
      <c r="AL5" s="53"/>
      <c r="AM5" s="53"/>
      <c r="AN5" s="53"/>
      <c r="AO5" s="29"/>
      <c r="AP5" s="79"/>
      <c r="AQ5" s="53"/>
      <c r="AR5" s="53"/>
      <c r="AS5" s="53"/>
      <c r="AT5" s="53"/>
      <c r="AU5" s="29"/>
      <c r="AV5" s="79"/>
      <c r="AW5" s="53"/>
      <c r="AX5" s="53"/>
      <c r="AY5" s="53"/>
      <c r="AZ5" s="53"/>
      <c r="BA5" s="53"/>
      <c r="BB5" s="53"/>
      <c r="BC5" s="53"/>
      <c r="BD5" s="53"/>
      <c r="BE5" s="52"/>
      <c r="BF5" s="52"/>
      <c r="BG5" s="52"/>
      <c r="BH5" s="52"/>
      <c r="BI5" s="52"/>
      <c r="BJ5" s="52"/>
    </row>
    <row r="6" spans="1:62" s="22" customFormat="1" ht="18" customHeight="1">
      <c r="A6" s="40"/>
      <c r="B6" s="78" t="s">
        <v>252</v>
      </c>
      <c r="C6" s="51">
        <v>-10465</v>
      </c>
      <c r="D6" s="51">
        <v>8200</v>
      </c>
      <c r="E6" s="51" t="s">
        <v>175</v>
      </c>
      <c r="F6" s="53"/>
      <c r="G6" s="53"/>
      <c r="H6" s="53"/>
      <c r="I6" s="53"/>
      <c r="J6" s="53"/>
      <c r="K6" s="29"/>
      <c r="L6" s="79"/>
      <c r="M6" s="53"/>
      <c r="N6" s="53"/>
      <c r="O6" s="53"/>
      <c r="P6" s="53"/>
      <c r="Q6" s="29"/>
      <c r="R6" s="79"/>
      <c r="S6" s="53"/>
      <c r="T6" s="53"/>
      <c r="U6" s="53"/>
      <c r="V6" s="53"/>
      <c r="W6" s="29"/>
      <c r="X6" s="79"/>
      <c r="Y6" s="53"/>
      <c r="Z6" s="53"/>
      <c r="AA6" s="53"/>
      <c r="AB6" s="53"/>
      <c r="AC6" s="29"/>
      <c r="AD6" s="79"/>
      <c r="AE6" s="53"/>
      <c r="AF6" s="53"/>
      <c r="AG6" s="53"/>
      <c r="AH6" s="53"/>
      <c r="AI6" s="29"/>
      <c r="AJ6" s="79"/>
      <c r="AK6" s="53"/>
      <c r="AL6" s="53"/>
      <c r="AM6" s="53"/>
      <c r="AN6" s="53"/>
      <c r="AO6" s="29"/>
      <c r="AP6" s="79"/>
      <c r="AQ6" s="53"/>
      <c r="AR6" s="53"/>
      <c r="AS6" s="53"/>
      <c r="AT6" s="53"/>
      <c r="AU6" s="29"/>
      <c r="AV6" s="79"/>
      <c r="AW6" s="53"/>
      <c r="AX6" s="53"/>
      <c r="AY6" s="53"/>
      <c r="AZ6" s="53"/>
      <c r="BA6" s="53"/>
      <c r="BB6" s="53"/>
      <c r="BC6" s="53"/>
      <c r="BD6" s="53"/>
      <c r="BE6" s="52"/>
      <c r="BF6" s="52"/>
      <c r="BG6" s="52"/>
      <c r="BH6" s="52"/>
      <c r="BI6" s="52"/>
      <c r="BJ6" s="52"/>
    </row>
    <row r="7" spans="1:62" s="22" customFormat="1" ht="18" customHeight="1">
      <c r="A7" s="40"/>
      <c r="B7" s="78" t="s">
        <v>251</v>
      </c>
      <c r="C7" s="51">
        <v>-5005</v>
      </c>
      <c r="D7" s="51">
        <v>9660</v>
      </c>
      <c r="E7" s="51" t="s">
        <v>175</v>
      </c>
      <c r="F7" s="53"/>
      <c r="G7" s="53"/>
      <c r="H7" s="53"/>
      <c r="I7" s="53"/>
      <c r="J7" s="53"/>
      <c r="K7" s="29"/>
      <c r="L7" s="79"/>
      <c r="M7" s="53"/>
      <c r="N7" s="53"/>
      <c r="O7" s="53"/>
      <c r="P7" s="53"/>
      <c r="Q7" s="29"/>
      <c r="R7" s="79"/>
      <c r="S7" s="53"/>
      <c r="T7" s="53"/>
      <c r="U7" s="53"/>
      <c r="V7" s="53"/>
      <c r="W7" s="29"/>
      <c r="X7" s="79"/>
      <c r="Y7" s="53"/>
      <c r="Z7" s="53"/>
      <c r="AA7" s="53"/>
      <c r="AB7" s="53"/>
      <c r="AC7" s="29"/>
      <c r="AD7" s="79"/>
      <c r="AE7" s="53"/>
      <c r="AF7" s="53"/>
      <c r="AG7" s="53"/>
      <c r="AH7" s="53"/>
      <c r="AI7" s="29"/>
      <c r="AJ7" s="79"/>
      <c r="AK7" s="53"/>
      <c r="AL7" s="53"/>
      <c r="AM7" s="53"/>
      <c r="AN7" s="53"/>
      <c r="AO7" s="29"/>
      <c r="AP7" s="79"/>
      <c r="AQ7" s="53"/>
      <c r="AR7" s="53"/>
      <c r="AS7" s="53"/>
      <c r="AT7" s="53"/>
      <c r="AU7" s="29"/>
      <c r="AV7" s="79"/>
      <c r="AW7" s="53"/>
      <c r="AX7" s="53"/>
      <c r="AY7" s="53"/>
      <c r="AZ7" s="53"/>
      <c r="BA7" s="53"/>
      <c r="BB7" s="53"/>
      <c r="BC7" s="53"/>
      <c r="BD7" s="53"/>
      <c r="BE7" s="52"/>
      <c r="BF7" s="52"/>
      <c r="BG7" s="52"/>
      <c r="BH7" s="52"/>
      <c r="BI7" s="52"/>
      <c r="BJ7" s="52"/>
    </row>
    <row r="8" spans="1:62" s="22" customFormat="1" ht="18" customHeight="1">
      <c r="A8" s="40"/>
      <c r="B8" s="78" t="s">
        <v>250</v>
      </c>
      <c r="C8" s="51">
        <v>455</v>
      </c>
      <c r="D8" s="51">
        <v>9660</v>
      </c>
      <c r="E8" s="51" t="s">
        <v>175</v>
      </c>
      <c r="F8" s="53"/>
      <c r="G8" s="53"/>
      <c r="H8" s="53"/>
      <c r="I8" s="53"/>
      <c r="J8" s="53"/>
      <c r="K8" s="29"/>
      <c r="L8" s="79"/>
      <c r="M8" s="53"/>
      <c r="N8" s="53"/>
      <c r="O8" s="53"/>
      <c r="P8" s="53"/>
      <c r="Q8" s="29"/>
      <c r="R8" s="79"/>
      <c r="S8" s="53"/>
      <c r="T8" s="53"/>
      <c r="U8" s="53"/>
      <c r="V8" s="53"/>
      <c r="W8" s="29"/>
      <c r="X8" s="79"/>
      <c r="Y8" s="53"/>
      <c r="Z8" s="53"/>
      <c r="AA8" s="53"/>
      <c r="AB8" s="53"/>
      <c r="AC8" s="29"/>
      <c r="AD8" s="79"/>
      <c r="AE8" s="53"/>
      <c r="AF8" s="53"/>
      <c r="AG8" s="53"/>
      <c r="AH8" s="53"/>
      <c r="AI8" s="29"/>
      <c r="AJ8" s="79"/>
      <c r="AK8" s="53"/>
      <c r="AL8" s="53"/>
      <c r="AM8" s="53"/>
      <c r="AN8" s="53"/>
      <c r="AO8" s="29"/>
      <c r="AP8" s="79"/>
      <c r="AQ8" s="53"/>
      <c r="AR8" s="53"/>
      <c r="AS8" s="53"/>
      <c r="AT8" s="53"/>
      <c r="AU8" s="29"/>
      <c r="AV8" s="79"/>
      <c r="AW8" s="53"/>
      <c r="AX8" s="53"/>
      <c r="AY8" s="53"/>
      <c r="AZ8" s="53"/>
      <c r="BA8" s="53"/>
      <c r="BB8" s="53"/>
      <c r="BC8" s="53"/>
      <c r="BD8" s="53"/>
      <c r="BE8" s="52"/>
      <c r="BF8" s="52"/>
      <c r="BG8" s="52"/>
      <c r="BH8" s="52"/>
      <c r="BI8" s="52"/>
      <c r="BJ8" s="52"/>
    </row>
    <row r="9" spans="1:62" s="22" customFormat="1" ht="18" customHeight="1">
      <c r="A9" s="40"/>
      <c r="B9" s="78" t="s">
        <v>249</v>
      </c>
      <c r="C9" s="51">
        <v>-10465</v>
      </c>
      <c r="D9" s="51">
        <v>6740</v>
      </c>
      <c r="E9" s="51" t="s">
        <v>175</v>
      </c>
      <c r="F9" s="53"/>
      <c r="G9" s="53"/>
      <c r="H9" s="53"/>
      <c r="I9" s="53"/>
      <c r="J9" s="53"/>
      <c r="K9" s="29"/>
      <c r="L9" s="79"/>
      <c r="M9" s="53"/>
      <c r="N9" s="53"/>
      <c r="O9" s="53"/>
      <c r="P9" s="53"/>
      <c r="Q9" s="29"/>
      <c r="R9" s="79"/>
      <c r="S9" s="53"/>
      <c r="T9" s="53"/>
      <c r="U9" s="53"/>
      <c r="V9" s="53"/>
      <c r="W9" s="29"/>
      <c r="X9" s="79"/>
      <c r="Y9" s="53"/>
      <c r="Z9" s="53"/>
      <c r="AA9" s="53"/>
      <c r="AB9" s="53"/>
      <c r="AC9" s="29"/>
      <c r="AD9" s="79"/>
      <c r="AE9" s="53"/>
      <c r="AF9" s="53"/>
      <c r="AG9" s="53"/>
      <c r="AH9" s="53"/>
      <c r="AI9" s="29"/>
      <c r="AJ9" s="79"/>
      <c r="AK9" s="53"/>
      <c r="AL9" s="53"/>
      <c r="AM9" s="53"/>
      <c r="AN9" s="53"/>
      <c r="AO9" s="29"/>
      <c r="AP9" s="79"/>
      <c r="AQ9" s="53"/>
      <c r="AR9" s="53"/>
      <c r="AS9" s="53"/>
      <c r="AT9" s="53"/>
      <c r="AU9" s="29"/>
      <c r="AV9" s="79"/>
      <c r="AW9" s="53"/>
      <c r="AX9" s="53"/>
      <c r="AY9" s="53"/>
      <c r="AZ9" s="53"/>
      <c r="BA9" s="53"/>
      <c r="BB9" s="53"/>
      <c r="BC9" s="53"/>
      <c r="BD9" s="53"/>
      <c r="BE9" s="52"/>
      <c r="BF9" s="52"/>
      <c r="BG9" s="52"/>
      <c r="BH9" s="52"/>
      <c r="BI9" s="52"/>
      <c r="BJ9" s="52"/>
    </row>
    <row r="10" spans="1:62" s="22" customFormat="1" ht="18" customHeight="1">
      <c r="A10" s="40"/>
      <c r="B10" s="78" t="s">
        <v>248</v>
      </c>
      <c r="C10" s="51">
        <v>-3185</v>
      </c>
      <c r="D10" s="51">
        <v>6740</v>
      </c>
      <c r="E10" s="51" t="s">
        <v>175</v>
      </c>
      <c r="F10" s="53"/>
      <c r="G10" s="53"/>
      <c r="H10" s="53"/>
      <c r="I10" s="53"/>
      <c r="J10" s="53"/>
      <c r="K10" s="29"/>
      <c r="L10" s="79"/>
      <c r="M10" s="53"/>
      <c r="N10" s="53"/>
      <c r="O10" s="53"/>
      <c r="P10" s="53"/>
      <c r="Q10" s="29"/>
      <c r="R10" s="79"/>
      <c r="S10" s="53"/>
      <c r="T10" s="53"/>
      <c r="U10" s="53"/>
      <c r="V10" s="53"/>
      <c r="W10" s="29"/>
      <c r="X10" s="79"/>
      <c r="Y10" s="53"/>
      <c r="Z10" s="53"/>
      <c r="AA10" s="53"/>
      <c r="AB10" s="53"/>
      <c r="AC10" s="29"/>
      <c r="AD10" s="79"/>
      <c r="AE10" s="53"/>
      <c r="AF10" s="53"/>
      <c r="AG10" s="53"/>
      <c r="AH10" s="53"/>
      <c r="AI10" s="29"/>
      <c r="AJ10" s="79"/>
      <c r="AK10" s="53"/>
      <c r="AL10" s="53"/>
      <c r="AM10" s="53"/>
      <c r="AN10" s="53"/>
      <c r="AO10" s="29"/>
      <c r="AP10" s="79"/>
      <c r="AQ10" s="53"/>
      <c r="AR10" s="53"/>
      <c r="AS10" s="53"/>
      <c r="AT10" s="53"/>
      <c r="AU10" s="29"/>
      <c r="AV10" s="79"/>
      <c r="AW10" s="53"/>
      <c r="AX10" s="53"/>
      <c r="AY10" s="53"/>
      <c r="AZ10" s="53"/>
      <c r="BA10" s="53"/>
      <c r="BB10" s="53"/>
      <c r="BC10" s="53"/>
      <c r="BD10" s="53"/>
      <c r="BE10" s="52"/>
      <c r="BF10" s="52"/>
      <c r="BG10" s="52"/>
      <c r="BH10" s="52"/>
      <c r="BI10" s="52"/>
      <c r="BJ10" s="52"/>
    </row>
    <row r="11" spans="1:62" s="22" customFormat="1" ht="18" customHeight="1">
      <c r="A11" s="40"/>
      <c r="B11" s="78" t="s">
        <v>247</v>
      </c>
      <c r="C11" s="51">
        <v>4095</v>
      </c>
      <c r="D11" s="51">
        <v>6740</v>
      </c>
      <c r="E11" s="51" t="s">
        <v>175</v>
      </c>
      <c r="F11" s="53"/>
      <c r="G11" s="53"/>
      <c r="H11" s="53"/>
      <c r="I11" s="53"/>
      <c r="J11" s="53"/>
      <c r="K11" s="29"/>
      <c r="L11" s="79"/>
      <c r="M11" s="53"/>
      <c r="N11" s="53"/>
      <c r="O11" s="53"/>
      <c r="P11" s="53"/>
      <c r="Q11" s="29"/>
      <c r="R11" s="79"/>
      <c r="S11" s="53"/>
      <c r="T11" s="53"/>
      <c r="U11" s="53"/>
      <c r="V11" s="53"/>
      <c r="W11" s="29"/>
      <c r="X11" s="79"/>
      <c r="Y11" s="53"/>
      <c r="Z11" s="53"/>
      <c r="AA11" s="53"/>
      <c r="AB11" s="53"/>
      <c r="AC11" s="29"/>
      <c r="AD11" s="79"/>
      <c r="AE11" s="53"/>
      <c r="AF11" s="53"/>
      <c r="AG11" s="53"/>
      <c r="AH11" s="53"/>
      <c r="AI11" s="29"/>
      <c r="AJ11" s="79"/>
      <c r="AK11" s="53"/>
      <c r="AL11" s="53"/>
      <c r="AM11" s="53"/>
      <c r="AN11" s="53"/>
      <c r="AO11" s="29"/>
      <c r="AP11" s="79"/>
      <c r="AQ11" s="53"/>
      <c r="AR11" s="53"/>
      <c r="AS11" s="53"/>
      <c r="AT11" s="53"/>
      <c r="AU11" s="29"/>
      <c r="AV11" s="79"/>
      <c r="AW11" s="53"/>
      <c r="AX11" s="53"/>
      <c r="AY11" s="53"/>
      <c r="AZ11" s="53"/>
      <c r="BA11" s="53"/>
      <c r="BB11" s="53"/>
      <c r="BC11" s="53"/>
      <c r="BD11" s="53"/>
      <c r="BE11" s="52"/>
      <c r="BF11" s="52"/>
      <c r="BG11" s="52"/>
      <c r="BH11" s="52"/>
      <c r="BI11" s="52"/>
      <c r="BJ11" s="52"/>
    </row>
    <row r="12" spans="1:62" s="22" customFormat="1" ht="18" customHeight="1">
      <c r="A12" s="40"/>
      <c r="B12" s="78" t="s">
        <v>246</v>
      </c>
      <c r="C12" s="51">
        <v>-10465</v>
      </c>
      <c r="D12" s="51">
        <v>5280</v>
      </c>
      <c r="E12" s="51" t="s">
        <v>175</v>
      </c>
      <c r="F12" s="53"/>
      <c r="G12" s="53"/>
      <c r="H12" s="53"/>
      <c r="I12" s="53"/>
      <c r="J12" s="53"/>
      <c r="K12" s="29"/>
      <c r="L12" s="79"/>
      <c r="M12" s="53"/>
      <c r="N12" s="53"/>
      <c r="O12" s="53"/>
      <c r="P12" s="53"/>
      <c r="Q12" s="29"/>
      <c r="R12" s="79"/>
      <c r="S12" s="53"/>
      <c r="T12" s="53"/>
      <c r="U12" s="53"/>
      <c r="V12" s="53"/>
      <c r="W12" s="29"/>
      <c r="X12" s="79"/>
      <c r="Y12" s="53"/>
      <c r="Z12" s="53"/>
      <c r="AA12" s="53"/>
      <c r="AB12" s="53"/>
      <c r="AC12" s="29"/>
      <c r="AD12" s="79"/>
      <c r="AE12" s="53"/>
      <c r="AF12" s="53"/>
      <c r="AG12" s="53"/>
      <c r="AH12" s="53"/>
      <c r="AI12" s="29"/>
      <c r="AJ12" s="79"/>
      <c r="AK12" s="53"/>
      <c r="AL12" s="53"/>
      <c r="AM12" s="53"/>
      <c r="AN12" s="53"/>
      <c r="AO12" s="29"/>
      <c r="AP12" s="79"/>
      <c r="AQ12" s="53"/>
      <c r="AR12" s="53"/>
      <c r="AS12" s="53"/>
      <c r="AT12" s="53"/>
      <c r="AU12" s="29"/>
      <c r="AV12" s="79"/>
      <c r="AW12" s="53"/>
      <c r="AX12" s="53"/>
      <c r="AY12" s="53"/>
      <c r="AZ12" s="53"/>
      <c r="BA12" s="53"/>
      <c r="BB12" s="53"/>
      <c r="BC12" s="53"/>
      <c r="BD12" s="53"/>
      <c r="BE12" s="52"/>
      <c r="BF12" s="52"/>
      <c r="BG12" s="52"/>
      <c r="BH12" s="52"/>
      <c r="BI12" s="52"/>
      <c r="BJ12" s="52"/>
    </row>
    <row r="13" spans="1:62" s="22" customFormat="1" ht="18" customHeight="1">
      <c r="A13" s="40"/>
      <c r="B13" s="78" t="s">
        <v>245</v>
      </c>
      <c r="C13" s="51">
        <v>-9990</v>
      </c>
      <c r="D13" s="51">
        <v>3720</v>
      </c>
      <c r="E13" s="51" t="s">
        <v>175</v>
      </c>
      <c r="F13" s="53"/>
      <c r="G13" s="53"/>
      <c r="H13" s="53"/>
      <c r="I13" s="53"/>
      <c r="J13" s="53"/>
      <c r="K13" s="29"/>
      <c r="L13" s="79"/>
      <c r="M13" s="53"/>
      <c r="N13" s="53"/>
      <c r="O13" s="53"/>
      <c r="P13" s="53"/>
      <c r="Q13" s="29"/>
      <c r="R13" s="79"/>
      <c r="S13" s="53"/>
      <c r="T13" s="53"/>
      <c r="U13" s="53"/>
      <c r="V13" s="53"/>
      <c r="W13" s="29"/>
      <c r="X13" s="79"/>
      <c r="Y13" s="53"/>
      <c r="Z13" s="53"/>
      <c r="AA13" s="53"/>
      <c r="AB13" s="53"/>
      <c r="AC13" s="29"/>
      <c r="AD13" s="79"/>
      <c r="AE13" s="53"/>
      <c r="AF13" s="53"/>
      <c r="AG13" s="53"/>
      <c r="AH13" s="53"/>
      <c r="AI13" s="29"/>
      <c r="AJ13" s="79"/>
      <c r="AK13" s="53"/>
      <c r="AL13" s="53"/>
      <c r="AM13" s="53"/>
      <c r="AN13" s="53"/>
      <c r="AO13" s="29"/>
      <c r="AP13" s="79"/>
      <c r="AQ13" s="53"/>
      <c r="AR13" s="53"/>
      <c r="AS13" s="53"/>
      <c r="AT13" s="53"/>
      <c r="AU13" s="29"/>
      <c r="AV13" s="79"/>
      <c r="AW13" s="53"/>
      <c r="AX13" s="53"/>
      <c r="AY13" s="53"/>
      <c r="AZ13" s="53"/>
      <c r="BA13" s="53"/>
      <c r="BB13" s="53"/>
      <c r="BC13" s="53"/>
      <c r="BD13" s="53"/>
      <c r="BE13" s="52"/>
      <c r="BF13" s="52"/>
      <c r="BG13" s="52"/>
      <c r="BH13" s="52"/>
      <c r="BI13" s="52"/>
      <c r="BJ13" s="52"/>
    </row>
    <row r="14" spans="1:62" s="22" customFormat="1" ht="18" customHeight="1">
      <c r="A14" s="40"/>
      <c r="B14" s="78" t="s">
        <v>244</v>
      </c>
      <c r="C14" s="51">
        <v>-9990</v>
      </c>
      <c r="D14" s="51">
        <v>400</v>
      </c>
      <c r="E14" s="51" t="s">
        <v>175</v>
      </c>
      <c r="F14" s="53"/>
      <c r="G14" s="53"/>
      <c r="H14" s="53"/>
      <c r="I14" s="53"/>
      <c r="J14" s="53"/>
      <c r="K14" s="29"/>
      <c r="L14" s="79"/>
      <c r="M14" s="53"/>
      <c r="N14" s="53"/>
      <c r="O14" s="53"/>
      <c r="P14" s="53"/>
      <c r="Q14" s="29"/>
      <c r="R14" s="79"/>
      <c r="S14" s="53"/>
      <c r="T14" s="53"/>
      <c r="U14" s="53"/>
      <c r="V14" s="53"/>
      <c r="W14" s="29"/>
      <c r="X14" s="79"/>
      <c r="Y14" s="53"/>
      <c r="Z14" s="53"/>
      <c r="AA14" s="53"/>
      <c r="AB14" s="53"/>
      <c r="AC14" s="29"/>
      <c r="AD14" s="79"/>
      <c r="AE14" s="53"/>
      <c r="AF14" s="53"/>
      <c r="AG14" s="53"/>
      <c r="AH14" s="53"/>
      <c r="AI14" s="29"/>
      <c r="AJ14" s="79"/>
      <c r="AK14" s="53"/>
      <c r="AL14" s="53"/>
      <c r="AM14" s="53"/>
      <c r="AN14" s="53"/>
      <c r="AO14" s="29"/>
      <c r="AP14" s="79"/>
      <c r="AQ14" s="53"/>
      <c r="AR14" s="53"/>
      <c r="AS14" s="53"/>
      <c r="AT14" s="53"/>
      <c r="AU14" s="29"/>
      <c r="AV14" s="79"/>
      <c r="AW14" s="53"/>
      <c r="AX14" s="53"/>
      <c r="AY14" s="53"/>
      <c r="AZ14" s="53"/>
      <c r="BA14" s="53"/>
      <c r="BB14" s="53"/>
      <c r="BC14" s="53"/>
      <c r="BD14" s="53"/>
      <c r="BE14" s="52"/>
      <c r="BF14" s="52"/>
      <c r="BG14" s="52"/>
      <c r="BH14" s="52"/>
      <c r="BI14" s="52"/>
      <c r="BJ14" s="52"/>
    </row>
    <row r="15" spans="1:62" s="22" customFormat="1" ht="18" customHeight="1">
      <c r="A15" s="40"/>
      <c r="B15" s="78" t="s">
        <v>243</v>
      </c>
      <c r="C15" s="51">
        <v>1110</v>
      </c>
      <c r="D15" s="51">
        <v>-1260</v>
      </c>
      <c r="E15" s="51" t="s">
        <v>175</v>
      </c>
      <c r="F15" s="53"/>
      <c r="G15" s="53"/>
      <c r="H15" s="53"/>
      <c r="I15" s="53"/>
      <c r="J15" s="53"/>
      <c r="K15" s="29"/>
      <c r="L15" s="79"/>
      <c r="M15" s="53"/>
      <c r="N15" s="53"/>
      <c r="O15" s="53"/>
      <c r="P15" s="53"/>
      <c r="Q15" s="29"/>
      <c r="R15" s="79"/>
      <c r="S15" s="53"/>
      <c r="T15" s="53"/>
      <c r="U15" s="53"/>
      <c r="V15" s="53"/>
      <c r="W15" s="29"/>
      <c r="X15" s="79"/>
      <c r="Y15" s="53"/>
      <c r="Z15" s="53"/>
      <c r="AA15" s="53"/>
      <c r="AB15" s="53"/>
      <c r="AC15" s="29"/>
      <c r="AD15" s="79"/>
      <c r="AE15" s="53"/>
      <c r="AF15" s="53"/>
      <c r="AG15" s="53"/>
      <c r="AH15" s="53"/>
      <c r="AI15" s="29"/>
      <c r="AJ15" s="79"/>
      <c r="AK15" s="53"/>
      <c r="AL15" s="53"/>
      <c r="AM15" s="53"/>
      <c r="AN15" s="53"/>
      <c r="AO15" s="29"/>
      <c r="AP15" s="79"/>
      <c r="AQ15" s="53"/>
      <c r="AR15" s="53"/>
      <c r="AS15" s="53"/>
      <c r="AT15" s="53"/>
      <c r="AU15" s="29"/>
      <c r="AV15" s="79"/>
      <c r="AW15" s="53"/>
      <c r="AX15" s="53"/>
      <c r="AY15" s="53"/>
      <c r="AZ15" s="53"/>
      <c r="BA15" s="53"/>
      <c r="BB15" s="53"/>
      <c r="BC15" s="53"/>
      <c r="BD15" s="53"/>
      <c r="BE15" s="52"/>
      <c r="BF15" s="52"/>
      <c r="BG15" s="52"/>
      <c r="BH15" s="52"/>
      <c r="BI15" s="52"/>
      <c r="BJ15" s="52"/>
    </row>
    <row r="16" spans="1:62" s="22" customFormat="1" ht="18" customHeight="1">
      <c r="A16" s="40"/>
      <c r="B16" s="78" t="s">
        <v>242</v>
      </c>
      <c r="C16" s="51">
        <v>4440</v>
      </c>
      <c r="D16" s="51">
        <v>-1260</v>
      </c>
      <c r="E16" s="51" t="s">
        <v>175</v>
      </c>
      <c r="F16" s="53"/>
      <c r="G16" s="53"/>
      <c r="H16" s="53"/>
      <c r="I16" s="53"/>
      <c r="J16" s="53"/>
      <c r="K16" s="29"/>
      <c r="L16" s="79"/>
      <c r="M16" s="53"/>
      <c r="N16" s="53"/>
      <c r="O16" s="53"/>
      <c r="P16" s="53"/>
      <c r="Q16" s="29"/>
      <c r="R16" s="79"/>
      <c r="S16" s="53"/>
      <c r="T16" s="53"/>
      <c r="U16" s="53"/>
      <c r="V16" s="53"/>
      <c r="W16" s="29"/>
      <c r="X16" s="79"/>
      <c r="Y16" s="53"/>
      <c r="Z16" s="53"/>
      <c r="AA16" s="53"/>
      <c r="AB16" s="53"/>
      <c r="AC16" s="29"/>
      <c r="AD16" s="79"/>
      <c r="AE16" s="53"/>
      <c r="AF16" s="53"/>
      <c r="AG16" s="53"/>
      <c r="AH16" s="53"/>
      <c r="AI16" s="29"/>
      <c r="AJ16" s="79"/>
      <c r="AK16" s="53"/>
      <c r="AL16" s="53"/>
      <c r="AM16" s="53"/>
      <c r="AN16" s="53"/>
      <c r="AO16" s="29"/>
      <c r="AP16" s="79"/>
      <c r="AQ16" s="53"/>
      <c r="AR16" s="53"/>
      <c r="AS16" s="53"/>
      <c r="AT16" s="53"/>
      <c r="AU16" s="29"/>
      <c r="AV16" s="79"/>
      <c r="AW16" s="53"/>
      <c r="AX16" s="53"/>
      <c r="AY16" s="53"/>
      <c r="AZ16" s="53"/>
      <c r="BA16" s="53"/>
      <c r="BB16" s="53"/>
      <c r="BC16" s="53"/>
      <c r="BD16" s="53"/>
      <c r="BE16" s="52"/>
      <c r="BF16" s="52"/>
      <c r="BG16" s="52"/>
      <c r="BH16" s="52"/>
      <c r="BI16" s="52"/>
      <c r="BJ16" s="52"/>
    </row>
    <row r="17" spans="1:62" s="22" customFormat="1" ht="18" customHeight="1">
      <c r="A17" s="40"/>
      <c r="B17" s="78" t="s">
        <v>241</v>
      </c>
      <c r="C17" s="51">
        <v>7770</v>
      </c>
      <c r="D17" s="51">
        <v>-1260</v>
      </c>
      <c r="E17" s="51" t="s">
        <v>175</v>
      </c>
      <c r="F17" s="53"/>
      <c r="G17" s="53"/>
      <c r="H17" s="53"/>
      <c r="I17" s="53"/>
      <c r="J17" s="53"/>
      <c r="K17" s="29"/>
      <c r="L17" s="79"/>
      <c r="M17" s="53"/>
      <c r="N17" s="53"/>
      <c r="O17" s="53"/>
      <c r="P17" s="53"/>
      <c r="Q17" s="29"/>
      <c r="R17" s="79"/>
      <c r="S17" s="53"/>
      <c r="T17" s="53"/>
      <c r="U17" s="53"/>
      <c r="V17" s="53"/>
      <c r="W17" s="29"/>
      <c r="X17" s="79"/>
      <c r="Y17" s="53"/>
      <c r="Z17" s="53"/>
      <c r="AA17" s="53"/>
      <c r="AB17" s="53"/>
      <c r="AC17" s="29"/>
      <c r="AD17" s="79"/>
      <c r="AE17" s="53"/>
      <c r="AF17" s="53"/>
      <c r="AG17" s="53"/>
      <c r="AH17" s="53"/>
      <c r="AI17" s="29"/>
      <c r="AJ17" s="79"/>
      <c r="AK17" s="53"/>
      <c r="AL17" s="53"/>
      <c r="AM17" s="53"/>
      <c r="AN17" s="53"/>
      <c r="AO17" s="29"/>
      <c r="AP17" s="79"/>
      <c r="AQ17" s="53"/>
      <c r="AR17" s="53"/>
      <c r="AS17" s="53"/>
      <c r="AT17" s="53"/>
      <c r="AU17" s="29"/>
      <c r="AV17" s="79"/>
      <c r="AW17" s="53"/>
      <c r="AX17" s="53"/>
      <c r="AY17" s="53"/>
      <c r="AZ17" s="53"/>
      <c r="BA17" s="53"/>
      <c r="BB17" s="53"/>
      <c r="BC17" s="53"/>
      <c r="BD17" s="53"/>
      <c r="BE17" s="52"/>
      <c r="BF17" s="52"/>
      <c r="BG17" s="52"/>
      <c r="BH17" s="52"/>
      <c r="BI17" s="52"/>
      <c r="BJ17" s="52"/>
    </row>
    <row r="18" spans="1:62" s="22" customFormat="1" ht="18" customHeight="1">
      <c r="A18" s="40"/>
      <c r="B18" s="78" t="s">
        <v>240</v>
      </c>
      <c r="C18" s="51">
        <v>4440</v>
      </c>
      <c r="D18" s="51">
        <v>-7900</v>
      </c>
      <c r="E18" s="51" t="s">
        <v>175</v>
      </c>
      <c r="F18" s="53"/>
      <c r="G18" s="53"/>
      <c r="H18" s="53"/>
      <c r="I18" s="53"/>
      <c r="J18" s="53"/>
      <c r="K18" s="29"/>
      <c r="L18" s="79"/>
      <c r="M18" s="53"/>
      <c r="N18" s="53"/>
      <c r="O18" s="53"/>
      <c r="P18" s="53"/>
      <c r="Q18" s="29"/>
      <c r="R18" s="79"/>
      <c r="S18" s="53"/>
      <c r="T18" s="53"/>
      <c r="U18" s="53"/>
      <c r="V18" s="53"/>
      <c r="W18" s="29"/>
      <c r="X18" s="79"/>
      <c r="Y18" s="53"/>
      <c r="Z18" s="53"/>
      <c r="AA18" s="53"/>
      <c r="AB18" s="53"/>
      <c r="AC18" s="29"/>
      <c r="AD18" s="79"/>
      <c r="AE18" s="53"/>
      <c r="AF18" s="53"/>
      <c r="AG18" s="53"/>
      <c r="AH18" s="53"/>
      <c r="AI18" s="29"/>
      <c r="AJ18" s="79"/>
      <c r="AK18" s="53"/>
      <c r="AL18" s="53"/>
      <c r="AM18" s="53"/>
      <c r="AN18" s="53"/>
      <c r="AO18" s="29"/>
      <c r="AP18" s="79"/>
      <c r="AQ18" s="53"/>
      <c r="AR18" s="53"/>
      <c r="AS18" s="53"/>
      <c r="AT18" s="53"/>
      <c r="AU18" s="29"/>
      <c r="AV18" s="79"/>
      <c r="AW18" s="53"/>
      <c r="AX18" s="53"/>
      <c r="AY18" s="53"/>
      <c r="AZ18" s="53"/>
      <c r="BA18" s="53"/>
      <c r="BB18" s="53"/>
      <c r="BC18" s="53"/>
      <c r="BD18" s="53"/>
      <c r="BE18" s="52"/>
      <c r="BF18" s="52"/>
      <c r="BG18" s="52"/>
      <c r="BH18" s="52"/>
      <c r="BI18" s="52"/>
      <c r="BJ18" s="52"/>
    </row>
    <row r="19" spans="1:62" s="22" customFormat="1" ht="18" customHeight="1">
      <c r="A19" s="40"/>
      <c r="B19" s="78" t="s">
        <v>240</v>
      </c>
      <c r="C19" s="51">
        <v>4440</v>
      </c>
      <c r="D19" s="51">
        <v>-9560</v>
      </c>
      <c r="E19" s="51" t="s">
        <v>175</v>
      </c>
      <c r="F19" s="53"/>
      <c r="G19" s="53"/>
      <c r="H19" s="53"/>
      <c r="I19" s="53"/>
      <c r="J19" s="53"/>
      <c r="K19" s="29"/>
      <c r="L19" s="79"/>
      <c r="M19" s="53"/>
      <c r="N19" s="53"/>
      <c r="O19" s="53"/>
      <c r="P19" s="53"/>
      <c r="Q19" s="29"/>
      <c r="R19" s="79"/>
      <c r="S19" s="53"/>
      <c r="T19" s="53"/>
      <c r="U19" s="53"/>
      <c r="V19" s="53"/>
      <c r="W19" s="29"/>
      <c r="X19" s="79"/>
      <c r="Y19" s="53"/>
      <c r="Z19" s="53"/>
      <c r="AA19" s="53"/>
      <c r="AB19" s="53"/>
      <c r="AC19" s="29"/>
      <c r="AD19" s="79"/>
      <c r="AE19" s="53"/>
      <c r="AF19" s="53"/>
      <c r="AG19" s="53"/>
      <c r="AH19" s="53"/>
      <c r="AI19" s="29"/>
      <c r="AJ19" s="79"/>
      <c r="AK19" s="53"/>
      <c r="AL19" s="53"/>
      <c r="AM19" s="53"/>
      <c r="AN19" s="53"/>
      <c r="AO19" s="29"/>
      <c r="AP19" s="79"/>
      <c r="AQ19" s="53"/>
      <c r="AR19" s="53"/>
      <c r="AS19" s="53"/>
      <c r="AT19" s="53"/>
      <c r="AU19" s="29"/>
      <c r="AV19" s="79"/>
      <c r="AW19" s="53"/>
      <c r="AX19" s="53"/>
      <c r="AY19" s="53"/>
      <c r="AZ19" s="53"/>
      <c r="BA19" s="53"/>
      <c r="BB19" s="53"/>
      <c r="BC19" s="53"/>
      <c r="BD19" s="53"/>
      <c r="BE19" s="52"/>
      <c r="BF19" s="52"/>
      <c r="BG19" s="52"/>
      <c r="BH19" s="52"/>
      <c r="BI19" s="52"/>
      <c r="BJ19" s="52"/>
    </row>
    <row r="20" spans="1:62" s="22" customFormat="1" ht="18" customHeight="1">
      <c r="A20" s="40"/>
      <c r="B20" s="78" t="s">
        <v>239</v>
      </c>
      <c r="C20" s="51">
        <v>4440</v>
      </c>
      <c r="D20" s="51">
        <v>-6240</v>
      </c>
      <c r="E20" s="51" t="s">
        <v>175</v>
      </c>
      <c r="F20" s="53"/>
      <c r="G20" s="53"/>
      <c r="H20" s="53"/>
      <c r="I20" s="53"/>
      <c r="J20" s="53"/>
      <c r="K20" s="29"/>
      <c r="L20" s="79"/>
      <c r="M20" s="53"/>
      <c r="N20" s="53"/>
      <c r="O20" s="53"/>
      <c r="P20" s="53"/>
      <c r="Q20" s="29"/>
      <c r="R20" s="79"/>
      <c r="S20" s="53"/>
      <c r="T20" s="53"/>
      <c r="U20" s="53"/>
      <c r="V20" s="53"/>
      <c r="W20" s="29"/>
      <c r="X20" s="79"/>
      <c r="Y20" s="53"/>
      <c r="Z20" s="53"/>
      <c r="AA20" s="53"/>
      <c r="AB20" s="53"/>
      <c r="AC20" s="29"/>
      <c r="AD20" s="79"/>
      <c r="AE20" s="53"/>
      <c r="AF20" s="53"/>
      <c r="AG20" s="53"/>
      <c r="AH20" s="53"/>
      <c r="AI20" s="29"/>
      <c r="AJ20" s="79"/>
      <c r="AK20" s="53"/>
      <c r="AL20" s="53"/>
      <c r="AM20" s="53"/>
      <c r="AN20" s="53"/>
      <c r="AO20" s="29"/>
      <c r="AP20" s="79"/>
      <c r="AQ20" s="53"/>
      <c r="AR20" s="53"/>
      <c r="AS20" s="53"/>
      <c r="AT20" s="53"/>
      <c r="AU20" s="29"/>
      <c r="AV20" s="79"/>
      <c r="AW20" s="53"/>
      <c r="AX20" s="53"/>
      <c r="AY20" s="53"/>
      <c r="AZ20" s="53"/>
      <c r="BA20" s="53"/>
      <c r="BB20" s="53"/>
      <c r="BC20" s="53"/>
      <c r="BD20" s="53"/>
      <c r="BE20" s="52"/>
      <c r="BF20" s="52"/>
      <c r="BG20" s="52"/>
      <c r="BH20" s="52"/>
      <c r="BI20" s="52"/>
      <c r="BJ20" s="52"/>
    </row>
    <row r="21" spans="1:62" s="22" customFormat="1" ht="18" customHeight="1">
      <c r="A21" s="40"/>
      <c r="B21" s="78" t="s">
        <v>238</v>
      </c>
      <c r="C21" s="51">
        <v>-9990</v>
      </c>
      <c r="D21" s="51">
        <v>-2920</v>
      </c>
      <c r="E21" s="51" t="s">
        <v>175</v>
      </c>
      <c r="F21" s="53"/>
      <c r="G21" s="53"/>
      <c r="H21" s="53"/>
      <c r="I21" s="53"/>
      <c r="J21" s="53"/>
      <c r="K21" s="29"/>
      <c r="L21" s="79"/>
      <c r="M21" s="53"/>
      <c r="N21" s="53"/>
      <c r="O21" s="53"/>
      <c r="P21" s="53"/>
      <c r="Q21" s="29"/>
      <c r="R21" s="79"/>
      <c r="S21" s="53"/>
      <c r="T21" s="53"/>
      <c r="U21" s="53"/>
      <c r="V21" s="53"/>
      <c r="W21" s="29"/>
      <c r="X21" s="79"/>
      <c r="Y21" s="53"/>
      <c r="Z21" s="53"/>
      <c r="AA21" s="53"/>
      <c r="AB21" s="53"/>
      <c r="AC21" s="29"/>
      <c r="AD21" s="79"/>
      <c r="AE21" s="53"/>
      <c r="AF21" s="53"/>
      <c r="AG21" s="53"/>
      <c r="AH21" s="53"/>
      <c r="AI21" s="29"/>
      <c r="AJ21" s="79"/>
      <c r="AK21" s="53"/>
      <c r="AL21" s="53"/>
      <c r="AM21" s="53"/>
      <c r="AN21" s="53"/>
      <c r="AO21" s="29"/>
      <c r="AP21" s="79"/>
      <c r="AQ21" s="53"/>
      <c r="AR21" s="53"/>
      <c r="AS21" s="53"/>
      <c r="AT21" s="53"/>
      <c r="AU21" s="29"/>
      <c r="AV21" s="79"/>
      <c r="AW21" s="53"/>
      <c r="AX21" s="53"/>
      <c r="AY21" s="53"/>
      <c r="AZ21" s="53"/>
      <c r="BA21" s="53"/>
      <c r="BB21" s="53"/>
      <c r="BC21" s="53"/>
      <c r="BD21" s="53"/>
      <c r="BE21" s="52"/>
      <c r="BF21" s="52"/>
      <c r="BG21" s="52"/>
      <c r="BH21" s="52"/>
      <c r="BI21" s="52"/>
      <c r="BJ21" s="52"/>
    </row>
    <row r="22" spans="1:62" s="22" customFormat="1" ht="18" customHeight="1">
      <c r="A22" s="40"/>
      <c r="B22" s="78" t="s">
        <v>237</v>
      </c>
      <c r="C22" s="51">
        <v>8880</v>
      </c>
      <c r="D22" s="51">
        <v>-6240</v>
      </c>
      <c r="E22" s="51" t="s">
        <v>175</v>
      </c>
      <c r="F22" s="53"/>
      <c r="G22" s="53"/>
      <c r="H22" s="53"/>
      <c r="I22" s="53"/>
      <c r="J22" s="53"/>
      <c r="K22" s="29"/>
      <c r="L22" s="79"/>
      <c r="M22" s="53"/>
      <c r="N22" s="53"/>
      <c r="O22" s="53"/>
      <c r="P22" s="53"/>
      <c r="Q22" s="29"/>
      <c r="R22" s="79"/>
      <c r="S22" s="53"/>
      <c r="T22" s="53"/>
      <c r="U22" s="53"/>
      <c r="V22" s="53"/>
      <c r="W22" s="29"/>
      <c r="X22" s="79"/>
      <c r="Y22" s="53"/>
      <c r="Z22" s="53"/>
      <c r="AA22" s="53"/>
      <c r="AB22" s="53"/>
      <c r="AC22" s="29"/>
      <c r="AD22" s="79"/>
      <c r="AE22" s="53"/>
      <c r="AF22" s="53"/>
      <c r="AG22" s="53"/>
      <c r="AH22" s="53"/>
      <c r="AI22" s="29"/>
      <c r="AJ22" s="79"/>
      <c r="AK22" s="53"/>
      <c r="AL22" s="53"/>
      <c r="AM22" s="53"/>
      <c r="AN22" s="53"/>
      <c r="AO22" s="29"/>
      <c r="AP22" s="79"/>
      <c r="AQ22" s="53"/>
      <c r="AR22" s="53"/>
      <c r="AS22" s="53"/>
      <c r="AT22" s="53"/>
      <c r="AU22" s="29"/>
      <c r="AV22" s="79"/>
      <c r="AW22" s="53"/>
      <c r="AX22" s="53"/>
      <c r="AY22" s="53"/>
      <c r="AZ22" s="53"/>
      <c r="BA22" s="53"/>
      <c r="BB22" s="53"/>
      <c r="BC22" s="53"/>
      <c r="BD22" s="53"/>
      <c r="BE22" s="52"/>
      <c r="BF22" s="52"/>
      <c r="BG22" s="52"/>
      <c r="BH22" s="52"/>
      <c r="BI22" s="52"/>
      <c r="BJ22" s="52"/>
    </row>
    <row r="23" spans="1:62" s="22" customFormat="1" ht="18" customHeight="1">
      <c r="A23" s="40"/>
      <c r="B23" s="78" t="s">
        <v>236</v>
      </c>
      <c r="C23" s="51">
        <v>1110</v>
      </c>
      <c r="D23" s="51">
        <v>-6240</v>
      </c>
      <c r="E23" s="51" t="s">
        <v>175</v>
      </c>
      <c r="F23" s="53"/>
      <c r="G23" s="53"/>
      <c r="H23" s="53"/>
      <c r="I23" s="53"/>
      <c r="J23" s="53"/>
      <c r="K23" s="29"/>
      <c r="L23" s="79"/>
      <c r="M23" s="53"/>
      <c r="N23" s="53"/>
      <c r="O23" s="53"/>
      <c r="P23" s="53"/>
      <c r="Q23" s="29"/>
      <c r="R23" s="79"/>
      <c r="S23" s="53"/>
      <c r="T23" s="53"/>
      <c r="U23" s="53"/>
      <c r="V23" s="53"/>
      <c r="W23" s="29"/>
      <c r="X23" s="79"/>
      <c r="Y23" s="53"/>
      <c r="Z23" s="53"/>
      <c r="AA23" s="53"/>
      <c r="AB23" s="53"/>
      <c r="AC23" s="29"/>
      <c r="AD23" s="79"/>
      <c r="AE23" s="53"/>
      <c r="AF23" s="53"/>
      <c r="AG23" s="53"/>
      <c r="AH23" s="53"/>
      <c r="AI23" s="29"/>
      <c r="AJ23" s="79"/>
      <c r="AK23" s="53"/>
      <c r="AL23" s="53"/>
      <c r="AM23" s="53"/>
      <c r="AN23" s="53"/>
      <c r="AO23" s="29"/>
      <c r="AP23" s="79"/>
      <c r="AQ23" s="53"/>
      <c r="AR23" s="53"/>
      <c r="AS23" s="53"/>
      <c r="AT23" s="53"/>
      <c r="AU23" s="29"/>
      <c r="AV23" s="79"/>
      <c r="AW23" s="53"/>
      <c r="AX23" s="53"/>
      <c r="AY23" s="53"/>
      <c r="AZ23" s="53"/>
      <c r="BA23" s="53"/>
      <c r="BB23" s="53"/>
      <c r="BC23" s="53"/>
      <c r="BD23" s="53"/>
      <c r="BE23" s="52"/>
      <c r="BF23" s="52"/>
      <c r="BG23" s="52"/>
      <c r="BH23" s="52"/>
      <c r="BI23" s="52"/>
      <c r="BJ23" s="52"/>
    </row>
    <row r="24" spans="1:62" s="22" customFormat="1" ht="18" customHeight="1">
      <c r="A24" s="40"/>
      <c r="B24" s="78" t="s">
        <v>235</v>
      </c>
      <c r="C24" s="51">
        <v>-9990</v>
      </c>
      <c r="D24" s="51">
        <v>-1260</v>
      </c>
      <c r="E24" s="51" t="s">
        <v>175</v>
      </c>
      <c r="F24" s="53"/>
      <c r="G24" s="53"/>
      <c r="H24" s="53"/>
      <c r="I24" s="53"/>
      <c r="J24" s="53"/>
      <c r="K24" s="29"/>
      <c r="L24" s="79"/>
      <c r="M24" s="53"/>
      <c r="N24" s="53"/>
      <c r="O24" s="53"/>
      <c r="P24" s="53"/>
      <c r="Q24" s="29"/>
      <c r="R24" s="79"/>
      <c r="S24" s="53"/>
      <c r="T24" s="53"/>
      <c r="U24" s="53"/>
      <c r="V24" s="53"/>
      <c r="W24" s="29"/>
      <c r="X24" s="79"/>
      <c r="Y24" s="53"/>
      <c r="Z24" s="53"/>
      <c r="AA24" s="53"/>
      <c r="AB24" s="53"/>
      <c r="AC24" s="29"/>
      <c r="AD24" s="79"/>
      <c r="AE24" s="53"/>
      <c r="AF24" s="53"/>
      <c r="AG24" s="53"/>
      <c r="AH24" s="53"/>
      <c r="AI24" s="29"/>
      <c r="AJ24" s="79"/>
      <c r="AK24" s="53"/>
      <c r="AL24" s="53"/>
      <c r="AM24" s="53"/>
      <c r="AN24" s="53"/>
      <c r="AO24" s="29"/>
      <c r="AP24" s="79"/>
      <c r="AQ24" s="53"/>
      <c r="AR24" s="53"/>
      <c r="AS24" s="53"/>
      <c r="AT24" s="53"/>
      <c r="AU24" s="29"/>
      <c r="AV24" s="79"/>
      <c r="AW24" s="53"/>
      <c r="AX24" s="53"/>
      <c r="AY24" s="53"/>
      <c r="AZ24" s="53"/>
      <c r="BA24" s="53"/>
      <c r="BB24" s="53"/>
      <c r="BC24" s="53"/>
      <c r="BD24" s="53"/>
      <c r="BE24" s="52"/>
      <c r="BF24" s="52"/>
      <c r="BG24" s="52"/>
      <c r="BH24" s="52"/>
      <c r="BI24" s="52"/>
      <c r="BJ24" s="52"/>
    </row>
    <row r="25" spans="1:62" s="22" customFormat="1" ht="18" customHeight="1">
      <c r="A25" s="40"/>
      <c r="B25" s="78" t="s">
        <v>234</v>
      </c>
      <c r="C25" s="51">
        <v>-9990</v>
      </c>
      <c r="D25" s="51">
        <v>-4580</v>
      </c>
      <c r="E25" s="51" t="s">
        <v>175</v>
      </c>
      <c r="F25" s="53"/>
      <c r="G25" s="53"/>
      <c r="H25" s="53"/>
      <c r="I25" s="53"/>
      <c r="J25" s="53"/>
      <c r="K25" s="29"/>
      <c r="L25" s="79"/>
      <c r="M25" s="53"/>
      <c r="N25" s="53"/>
      <c r="O25" s="53"/>
      <c r="P25" s="53"/>
      <c r="Q25" s="29"/>
      <c r="R25" s="79"/>
      <c r="S25" s="53"/>
      <c r="T25" s="53"/>
      <c r="U25" s="53"/>
      <c r="V25" s="53"/>
      <c r="W25" s="29"/>
      <c r="X25" s="79"/>
      <c r="Y25" s="53"/>
      <c r="Z25" s="53"/>
      <c r="AA25" s="53"/>
      <c r="AB25" s="53"/>
      <c r="AC25" s="29"/>
      <c r="AD25" s="79"/>
      <c r="AE25" s="53"/>
      <c r="AF25" s="53"/>
      <c r="AG25" s="53"/>
      <c r="AH25" s="53"/>
      <c r="AI25" s="29"/>
      <c r="AJ25" s="79"/>
      <c r="AK25" s="53"/>
      <c r="AL25" s="53"/>
      <c r="AM25" s="53"/>
      <c r="AN25" s="53"/>
      <c r="AO25" s="29"/>
      <c r="AP25" s="79"/>
      <c r="AQ25" s="53"/>
      <c r="AR25" s="53"/>
      <c r="AS25" s="53"/>
      <c r="AT25" s="53"/>
      <c r="AU25" s="29"/>
      <c r="AV25" s="79"/>
      <c r="AW25" s="53"/>
      <c r="AX25" s="53"/>
      <c r="AY25" s="53"/>
      <c r="AZ25" s="53"/>
      <c r="BA25" s="53"/>
      <c r="BB25" s="53"/>
      <c r="BC25" s="53"/>
      <c r="BD25" s="53"/>
      <c r="BE25" s="52"/>
      <c r="BF25" s="52"/>
      <c r="BG25" s="52"/>
      <c r="BH25" s="52"/>
      <c r="BI25" s="52"/>
      <c r="BJ25" s="52"/>
    </row>
    <row r="26" spans="1:62" s="22" customFormat="1" ht="18" customHeight="1">
      <c r="A26" s="40"/>
      <c r="B26" s="78" t="s">
        <v>233</v>
      </c>
      <c r="C26" s="51">
        <v>-9990</v>
      </c>
      <c r="D26" s="51">
        <v>-6240</v>
      </c>
      <c r="E26" s="51" t="s">
        <v>175</v>
      </c>
      <c r="F26" s="53"/>
      <c r="G26" s="53"/>
      <c r="H26" s="53"/>
      <c r="I26" s="53"/>
      <c r="J26" s="53"/>
      <c r="K26" s="29"/>
      <c r="L26" s="79"/>
      <c r="M26" s="53"/>
      <c r="N26" s="53"/>
      <c r="O26" s="53"/>
      <c r="P26" s="53"/>
      <c r="Q26" s="29"/>
      <c r="R26" s="79"/>
      <c r="S26" s="53"/>
      <c r="T26" s="53"/>
      <c r="U26" s="53"/>
      <c r="V26" s="53"/>
      <c r="W26" s="29"/>
      <c r="X26" s="79"/>
      <c r="Y26" s="53"/>
      <c r="Z26" s="53"/>
      <c r="AA26" s="53"/>
      <c r="AB26" s="53"/>
      <c r="AC26" s="29"/>
      <c r="AD26" s="79"/>
      <c r="AE26" s="53"/>
      <c r="AF26" s="53"/>
      <c r="AG26" s="53"/>
      <c r="AH26" s="53"/>
      <c r="AI26" s="29"/>
      <c r="AJ26" s="79"/>
      <c r="AK26" s="53"/>
      <c r="AL26" s="53"/>
      <c r="AM26" s="53"/>
      <c r="AN26" s="53"/>
      <c r="AO26" s="29"/>
      <c r="AP26" s="79"/>
      <c r="AQ26" s="53"/>
      <c r="AR26" s="53"/>
      <c r="AS26" s="53"/>
      <c r="AT26" s="53"/>
      <c r="AU26" s="29"/>
      <c r="AV26" s="79"/>
      <c r="AW26" s="53"/>
      <c r="AX26" s="53"/>
      <c r="AY26" s="53"/>
      <c r="AZ26" s="53"/>
      <c r="BA26" s="53"/>
      <c r="BB26" s="53"/>
      <c r="BC26" s="53"/>
      <c r="BD26" s="53"/>
      <c r="BE26" s="52"/>
      <c r="BF26" s="52"/>
      <c r="BG26" s="52"/>
      <c r="BH26" s="52"/>
      <c r="BI26" s="52"/>
      <c r="BJ26" s="52"/>
    </row>
    <row r="27" spans="1:62" s="22" customFormat="1" ht="18" customHeight="1">
      <c r="A27" s="201"/>
      <c r="B27" s="202" t="s">
        <v>232</v>
      </c>
      <c r="C27" s="203">
        <v>7067</v>
      </c>
      <c r="D27" s="203">
        <v>-10327</v>
      </c>
      <c r="E27" s="203" t="s">
        <v>175</v>
      </c>
      <c r="F27" s="53"/>
      <c r="G27" s="53"/>
      <c r="H27" s="53"/>
      <c r="I27" s="53"/>
      <c r="J27" s="53"/>
      <c r="K27" s="29"/>
      <c r="L27" s="79"/>
      <c r="M27" s="53"/>
      <c r="N27" s="53"/>
      <c r="O27" s="53"/>
      <c r="P27" s="53"/>
      <c r="Q27" s="29"/>
      <c r="R27" s="79"/>
      <c r="S27" s="53"/>
      <c r="T27" s="53"/>
      <c r="U27" s="53"/>
      <c r="V27" s="53"/>
      <c r="W27" s="29"/>
      <c r="X27" s="79"/>
      <c r="Y27" s="53"/>
      <c r="Z27" s="53"/>
      <c r="AA27" s="53"/>
      <c r="AB27" s="53"/>
      <c r="AC27" s="29"/>
      <c r="AD27" s="79"/>
      <c r="AE27" s="53"/>
      <c r="AF27" s="53"/>
      <c r="AG27" s="53"/>
      <c r="AH27" s="53"/>
      <c r="AI27" s="29"/>
      <c r="AJ27" s="79"/>
      <c r="AK27" s="53"/>
      <c r="AL27" s="53"/>
      <c r="AM27" s="53"/>
      <c r="AN27" s="53"/>
      <c r="AO27" s="29"/>
      <c r="AP27" s="79"/>
      <c r="AQ27" s="53"/>
      <c r="AR27" s="53"/>
      <c r="AS27" s="53"/>
      <c r="AT27" s="53"/>
      <c r="AU27" s="29"/>
      <c r="AV27" s="79"/>
      <c r="AW27" s="53"/>
      <c r="AX27" s="53"/>
      <c r="AY27" s="53"/>
      <c r="AZ27" s="53"/>
      <c r="BA27" s="53"/>
      <c r="BB27" s="53"/>
      <c r="BC27" s="53"/>
      <c r="BD27" s="53"/>
      <c r="BE27" s="52"/>
      <c r="BF27" s="52"/>
      <c r="BG27" s="52"/>
      <c r="BH27" s="52"/>
      <c r="BI27" s="52"/>
      <c r="BJ27" s="52"/>
    </row>
    <row r="28" spans="1:62" s="22" customFormat="1" ht="18" customHeight="1">
      <c r="A28" s="201"/>
      <c r="B28" s="202" t="s">
        <v>232</v>
      </c>
      <c r="C28" s="203">
        <v>-7059</v>
      </c>
      <c r="D28" s="203">
        <v>10327</v>
      </c>
      <c r="E28" s="203" t="s">
        <v>175</v>
      </c>
      <c r="F28" s="53"/>
      <c r="G28" s="53"/>
      <c r="H28" s="53"/>
      <c r="I28" s="53"/>
      <c r="J28" s="53"/>
      <c r="K28" s="29"/>
      <c r="L28" s="79"/>
      <c r="M28" s="53"/>
      <c r="N28" s="53"/>
      <c r="O28" s="53"/>
      <c r="P28" s="53"/>
      <c r="Q28" s="29"/>
      <c r="R28" s="79"/>
      <c r="S28" s="53"/>
      <c r="T28" s="53"/>
      <c r="U28" s="53"/>
      <c r="V28" s="53"/>
      <c r="W28" s="29"/>
      <c r="X28" s="79"/>
      <c r="Y28" s="53"/>
      <c r="Z28" s="53"/>
      <c r="AA28" s="53"/>
      <c r="AB28" s="53"/>
      <c r="AC28" s="29"/>
      <c r="AD28" s="79"/>
      <c r="AE28" s="53"/>
      <c r="AF28" s="53"/>
      <c r="AG28" s="53"/>
      <c r="AH28" s="53"/>
      <c r="AI28" s="29"/>
      <c r="AJ28" s="79"/>
      <c r="AK28" s="53"/>
      <c r="AL28" s="53"/>
      <c r="AM28" s="53"/>
      <c r="AN28" s="53"/>
      <c r="AO28" s="29"/>
      <c r="AP28" s="79"/>
      <c r="AQ28" s="53"/>
      <c r="AR28" s="53"/>
      <c r="AS28" s="53"/>
      <c r="AT28" s="53"/>
      <c r="AU28" s="29"/>
      <c r="AV28" s="79"/>
      <c r="AW28" s="53"/>
      <c r="AX28" s="53"/>
      <c r="AY28" s="53"/>
      <c r="AZ28" s="53"/>
      <c r="BA28" s="53"/>
      <c r="BB28" s="53"/>
      <c r="BC28" s="53"/>
      <c r="BD28" s="53"/>
      <c r="BE28" s="52"/>
      <c r="BF28" s="52"/>
      <c r="BG28" s="52"/>
      <c r="BH28" s="52"/>
      <c r="BI28" s="52"/>
      <c r="BJ28" s="52"/>
    </row>
    <row r="29" spans="1:62" s="30" customFormat="1" ht="18" customHeight="1">
      <c r="A29" s="201"/>
      <c r="B29" s="202" t="s">
        <v>232</v>
      </c>
      <c r="C29" s="203">
        <v>-6839</v>
      </c>
      <c r="D29" s="203">
        <v>-10327</v>
      </c>
      <c r="E29" s="203" t="s">
        <v>175</v>
      </c>
      <c r="F29" s="53"/>
      <c r="G29" s="53"/>
      <c r="H29" s="53"/>
      <c r="I29" s="53"/>
      <c r="J29" s="53"/>
      <c r="K29" s="29"/>
      <c r="L29" s="79"/>
      <c r="M29" s="53"/>
      <c r="N29" s="53"/>
      <c r="O29" s="53"/>
      <c r="P29" s="53"/>
      <c r="Q29" s="29"/>
      <c r="R29" s="79"/>
      <c r="S29" s="53"/>
      <c r="T29" s="53"/>
      <c r="U29" s="53"/>
      <c r="V29" s="53"/>
      <c r="W29" s="29"/>
      <c r="X29" s="79"/>
      <c r="Y29" s="53"/>
      <c r="Z29" s="53"/>
      <c r="AA29" s="53"/>
      <c r="AB29" s="53"/>
      <c r="AC29" s="29"/>
      <c r="AD29" s="79"/>
      <c r="AE29" s="53"/>
      <c r="AF29" s="53"/>
      <c r="AG29" s="53"/>
      <c r="AH29" s="53"/>
      <c r="AI29" s="29"/>
      <c r="AJ29" s="79"/>
      <c r="AK29" s="53"/>
      <c r="AL29" s="53"/>
      <c r="AM29" s="53"/>
      <c r="AN29" s="53"/>
      <c r="AO29" s="29"/>
      <c r="AP29" s="79"/>
      <c r="AQ29" s="53"/>
      <c r="AR29" s="53"/>
      <c r="AS29" s="53"/>
      <c r="AT29" s="53"/>
      <c r="AU29" s="29"/>
      <c r="AV29" s="79"/>
      <c r="AW29" s="53"/>
      <c r="AX29" s="53"/>
      <c r="AY29" s="53"/>
      <c r="AZ29" s="53"/>
      <c r="BA29" s="53"/>
      <c r="BB29" s="53"/>
      <c r="BC29" s="53"/>
      <c r="BD29" s="53"/>
      <c r="BE29" s="53"/>
      <c r="BF29" s="53"/>
      <c r="BG29" s="53"/>
      <c r="BH29" s="53"/>
      <c r="BI29" s="53"/>
      <c r="BJ29" s="53"/>
    </row>
    <row r="30" spans="1:62" s="30" customFormat="1" ht="18" customHeight="1">
      <c r="A30" s="201"/>
      <c r="B30" s="202" t="s">
        <v>232</v>
      </c>
      <c r="C30" s="203">
        <v>7067</v>
      </c>
      <c r="D30" s="203">
        <v>10327</v>
      </c>
      <c r="E30" s="203" t="s">
        <v>175</v>
      </c>
      <c r="F30" s="53"/>
      <c r="G30" s="53"/>
      <c r="H30" s="53"/>
      <c r="I30" s="53"/>
      <c r="J30" s="53"/>
      <c r="K30" s="29"/>
      <c r="L30" s="79"/>
      <c r="M30" s="53"/>
      <c r="N30" s="53"/>
      <c r="O30" s="53"/>
      <c r="P30" s="53"/>
      <c r="Q30" s="29"/>
      <c r="R30" s="79"/>
      <c r="S30" s="53"/>
      <c r="T30" s="53"/>
      <c r="U30" s="53"/>
      <c r="V30" s="53"/>
      <c r="W30" s="29"/>
      <c r="X30" s="79"/>
      <c r="Y30" s="53"/>
      <c r="Z30" s="53"/>
      <c r="AA30" s="53"/>
      <c r="AB30" s="53"/>
      <c r="AC30" s="29"/>
      <c r="AD30" s="79"/>
      <c r="AE30" s="53"/>
      <c r="AF30" s="53"/>
      <c r="AG30" s="53"/>
      <c r="AH30" s="53"/>
      <c r="AI30" s="29"/>
      <c r="AJ30" s="79"/>
      <c r="AK30" s="53"/>
      <c r="AL30" s="53"/>
      <c r="AM30" s="53"/>
      <c r="AN30" s="53"/>
      <c r="AO30" s="29"/>
      <c r="AP30" s="79"/>
      <c r="AQ30" s="53"/>
      <c r="AR30" s="53"/>
      <c r="AS30" s="53"/>
      <c r="AT30" s="53"/>
      <c r="AU30" s="29"/>
      <c r="AV30" s="79"/>
      <c r="AW30" s="53"/>
      <c r="AX30" s="53"/>
      <c r="AY30" s="53"/>
      <c r="AZ30" s="53"/>
      <c r="BA30" s="53"/>
      <c r="BB30" s="53"/>
      <c r="BC30" s="53"/>
      <c r="BD30" s="53"/>
      <c r="BE30" s="53"/>
      <c r="BF30" s="53"/>
      <c r="BG30" s="53"/>
      <c r="BH30" s="53"/>
      <c r="BI30" s="53"/>
      <c r="BJ30" s="53"/>
    </row>
    <row r="31" spans="1:62" s="30" customFormat="1" ht="18" customHeight="1">
      <c r="A31" s="198"/>
      <c r="B31" s="199" t="s">
        <v>231</v>
      </c>
      <c r="C31" s="200">
        <v>-1634</v>
      </c>
      <c r="D31" s="200">
        <v>-7662</v>
      </c>
      <c r="E31" s="200" t="s">
        <v>189</v>
      </c>
      <c r="F31" s="53"/>
      <c r="G31" s="53"/>
      <c r="H31" s="53"/>
      <c r="I31" s="53"/>
      <c r="J31" s="53"/>
      <c r="K31" s="29"/>
      <c r="L31" s="79"/>
      <c r="M31" s="53"/>
      <c r="N31" s="53"/>
      <c r="O31" s="53"/>
      <c r="P31" s="53"/>
      <c r="Q31" s="29"/>
      <c r="R31" s="79"/>
      <c r="S31" s="53"/>
      <c r="T31" s="53"/>
      <c r="U31" s="53"/>
      <c r="V31" s="53"/>
      <c r="W31" s="29"/>
      <c r="X31" s="79"/>
      <c r="Y31" s="53"/>
      <c r="Z31" s="53"/>
      <c r="AA31" s="53"/>
      <c r="AB31" s="53"/>
      <c r="AC31" s="29"/>
      <c r="AD31" s="79"/>
      <c r="AE31" s="53"/>
      <c r="AF31" s="53"/>
      <c r="AG31" s="53"/>
      <c r="AH31" s="53"/>
      <c r="AI31" s="29"/>
      <c r="AJ31" s="79"/>
      <c r="AK31" s="53"/>
      <c r="AL31" s="53"/>
      <c r="AM31" s="53"/>
      <c r="AN31" s="53"/>
      <c r="AO31" s="29"/>
      <c r="AP31" s="79"/>
      <c r="AQ31" s="53"/>
      <c r="AR31" s="53"/>
      <c r="AS31" s="53"/>
      <c r="AT31" s="53"/>
      <c r="AU31" s="29"/>
      <c r="AV31" s="79"/>
      <c r="AW31" s="53"/>
      <c r="AX31" s="53"/>
      <c r="AY31" s="53"/>
      <c r="AZ31" s="53"/>
      <c r="BA31" s="53"/>
      <c r="BB31" s="53"/>
      <c r="BC31" s="53"/>
      <c r="BD31" s="53"/>
      <c r="BE31" s="53"/>
      <c r="BF31" s="53"/>
      <c r="BG31" s="53"/>
      <c r="BH31" s="53"/>
      <c r="BI31" s="53"/>
      <c r="BJ31" s="53"/>
    </row>
    <row r="32" spans="1:62" s="30" customFormat="1" ht="18" customHeight="1">
      <c r="A32" s="198"/>
      <c r="B32" s="199" t="s">
        <v>231</v>
      </c>
      <c r="C32" s="200">
        <v>1698</v>
      </c>
      <c r="D32" s="200">
        <v>-7134</v>
      </c>
      <c r="E32" s="200" t="s">
        <v>175</v>
      </c>
      <c r="F32" s="53"/>
      <c r="G32" s="53"/>
      <c r="H32" s="53"/>
      <c r="I32" s="53"/>
      <c r="J32" s="53"/>
      <c r="K32" s="29"/>
      <c r="L32" s="79"/>
      <c r="M32" s="53"/>
      <c r="N32" s="53"/>
      <c r="O32" s="53"/>
      <c r="P32" s="53"/>
      <c r="Q32" s="29"/>
      <c r="R32" s="79"/>
      <c r="S32" s="53"/>
      <c r="T32" s="53"/>
      <c r="U32" s="53"/>
      <c r="V32" s="53"/>
      <c r="W32" s="29"/>
      <c r="X32" s="79"/>
      <c r="Y32" s="53"/>
      <c r="Z32" s="53"/>
      <c r="AA32" s="53"/>
      <c r="AB32" s="53"/>
      <c r="AC32" s="29"/>
      <c r="AD32" s="79"/>
      <c r="AE32" s="53"/>
      <c r="AF32" s="53"/>
      <c r="AG32" s="53"/>
      <c r="AH32" s="53"/>
      <c r="AI32" s="29"/>
      <c r="AJ32" s="79"/>
      <c r="AK32" s="53"/>
      <c r="AL32" s="53"/>
      <c r="AM32" s="53"/>
      <c r="AN32" s="53"/>
      <c r="AO32" s="29"/>
      <c r="AP32" s="79"/>
      <c r="AQ32" s="53"/>
      <c r="AR32" s="53"/>
      <c r="AS32" s="53"/>
      <c r="AT32" s="53"/>
      <c r="AU32" s="29"/>
      <c r="AV32" s="79"/>
      <c r="AW32" s="53"/>
      <c r="AX32" s="53"/>
      <c r="AY32" s="53"/>
      <c r="AZ32" s="53"/>
      <c r="BA32" s="53"/>
      <c r="BB32" s="53"/>
      <c r="BC32" s="53"/>
      <c r="BD32" s="53"/>
      <c r="BE32" s="53"/>
      <c r="BF32" s="53"/>
      <c r="BG32" s="53"/>
      <c r="BH32" s="53"/>
      <c r="BI32" s="53"/>
      <c r="BJ32" s="53"/>
    </row>
    <row r="33" spans="1:62" s="30" customFormat="1" ht="18" customHeight="1">
      <c r="A33" s="205"/>
      <c r="B33" s="206" t="s">
        <v>188</v>
      </c>
      <c r="C33" s="207">
        <v>-4178</v>
      </c>
      <c r="D33" s="207">
        <v>-9278</v>
      </c>
      <c r="E33" s="207" t="s">
        <v>175</v>
      </c>
      <c r="F33" s="53"/>
      <c r="G33" s="53"/>
      <c r="H33" s="53"/>
      <c r="I33" s="53"/>
      <c r="J33" s="53"/>
      <c r="K33" s="29"/>
      <c r="L33" s="79"/>
      <c r="M33" s="53"/>
      <c r="N33" s="53"/>
      <c r="O33" s="53"/>
      <c r="P33" s="53"/>
      <c r="Q33" s="29"/>
      <c r="R33" s="79"/>
      <c r="S33" s="53"/>
      <c r="T33" s="53"/>
      <c r="U33" s="53"/>
      <c r="V33" s="53"/>
      <c r="W33" s="29"/>
      <c r="X33" s="79"/>
      <c r="Y33" s="53"/>
      <c r="Z33" s="53"/>
      <c r="AA33" s="53"/>
      <c r="AB33" s="53"/>
      <c r="AC33" s="29"/>
      <c r="AD33" s="79"/>
      <c r="AE33" s="53"/>
      <c r="AF33" s="53"/>
      <c r="AG33" s="53"/>
      <c r="AH33" s="53"/>
      <c r="AI33" s="29"/>
      <c r="AJ33" s="79"/>
      <c r="AK33" s="53"/>
      <c r="AL33" s="53"/>
      <c r="AM33" s="53"/>
      <c r="AN33" s="53"/>
      <c r="AO33" s="29"/>
      <c r="AP33" s="79"/>
      <c r="AQ33" s="53"/>
      <c r="AR33" s="53"/>
      <c r="AS33" s="53"/>
      <c r="AT33" s="53"/>
      <c r="AU33" s="29"/>
      <c r="AV33" s="79"/>
      <c r="AW33" s="53"/>
      <c r="AX33" s="53"/>
      <c r="AY33" s="53"/>
      <c r="AZ33" s="53"/>
      <c r="BA33" s="53"/>
      <c r="BB33" s="53"/>
      <c r="BC33" s="53"/>
      <c r="BD33" s="53"/>
      <c r="BE33" s="53"/>
      <c r="BF33" s="53"/>
      <c r="BG33" s="53"/>
      <c r="BH33" s="53"/>
      <c r="BI33" s="53"/>
      <c r="BJ33" s="53"/>
    </row>
    <row r="34" spans="1:62" s="30" customFormat="1" ht="18" customHeight="1">
      <c r="A34" s="205"/>
      <c r="B34" s="206" t="s">
        <v>187</v>
      </c>
      <c r="C34" s="207">
        <v>-6708</v>
      </c>
      <c r="D34" s="207">
        <v>-7735</v>
      </c>
      <c r="E34" s="207" t="s">
        <v>175</v>
      </c>
      <c r="F34" s="53"/>
      <c r="G34" s="53"/>
      <c r="H34" s="53"/>
      <c r="I34" s="53"/>
      <c r="J34" s="53"/>
      <c r="K34" s="29"/>
      <c r="L34" s="79"/>
      <c r="M34" s="53"/>
      <c r="N34" s="53"/>
      <c r="O34" s="53"/>
      <c r="P34" s="53"/>
      <c r="Q34" s="29"/>
      <c r="R34" s="79"/>
      <c r="S34" s="53"/>
      <c r="T34" s="53"/>
      <c r="U34" s="53"/>
      <c r="V34" s="53"/>
      <c r="W34" s="29"/>
      <c r="X34" s="79"/>
      <c r="Y34" s="53"/>
      <c r="Z34" s="53"/>
      <c r="AA34" s="53"/>
      <c r="AB34" s="53"/>
      <c r="AC34" s="29"/>
      <c r="AD34" s="79"/>
      <c r="AE34" s="53"/>
      <c r="AF34" s="53"/>
      <c r="AG34" s="53"/>
      <c r="AH34" s="53"/>
      <c r="AI34" s="29"/>
      <c r="AJ34" s="79"/>
      <c r="AK34" s="53"/>
      <c r="AL34" s="53"/>
      <c r="AM34" s="53"/>
      <c r="AN34" s="53"/>
      <c r="AO34" s="29"/>
      <c r="AP34" s="79"/>
      <c r="AQ34" s="53"/>
      <c r="AR34" s="53"/>
      <c r="AS34" s="53"/>
      <c r="AT34" s="53"/>
      <c r="AU34" s="29"/>
      <c r="AV34" s="79"/>
      <c r="AW34" s="53"/>
      <c r="AX34" s="53"/>
      <c r="AY34" s="53"/>
      <c r="AZ34" s="53"/>
      <c r="BA34" s="53"/>
      <c r="BB34" s="53"/>
      <c r="BC34" s="53"/>
      <c r="BD34" s="53"/>
      <c r="BE34" s="53"/>
      <c r="BF34" s="53"/>
      <c r="BG34" s="53"/>
      <c r="BH34" s="53"/>
      <c r="BI34" s="53"/>
      <c r="BJ34" s="53"/>
    </row>
    <row r="35" spans="1:62" s="30" customFormat="1" ht="18" customHeight="1">
      <c r="A35" s="205"/>
      <c r="B35" s="206" t="s">
        <v>186</v>
      </c>
      <c r="C35" s="207">
        <v>-9274</v>
      </c>
      <c r="D35" s="207">
        <v>9947.5</v>
      </c>
      <c r="E35" s="207" t="s">
        <v>175</v>
      </c>
      <c r="F35" s="53"/>
      <c r="G35" s="53"/>
      <c r="H35" s="53"/>
      <c r="I35" s="53"/>
      <c r="J35" s="53"/>
      <c r="K35" s="29"/>
      <c r="L35" s="79"/>
      <c r="M35" s="53"/>
      <c r="N35" s="53"/>
      <c r="O35" s="53"/>
      <c r="P35" s="53"/>
      <c r="Q35" s="29"/>
      <c r="R35" s="79"/>
      <c r="S35" s="53"/>
      <c r="T35" s="53"/>
      <c r="U35" s="53"/>
      <c r="V35" s="53"/>
      <c r="W35" s="29"/>
      <c r="X35" s="79"/>
      <c r="Y35" s="53"/>
      <c r="Z35" s="53"/>
      <c r="AA35" s="53"/>
      <c r="AB35" s="53"/>
      <c r="AC35" s="29"/>
      <c r="AD35" s="79"/>
      <c r="AE35" s="53"/>
      <c r="AF35" s="53"/>
      <c r="AG35" s="53"/>
      <c r="AH35" s="53"/>
      <c r="AI35" s="29"/>
      <c r="AJ35" s="79"/>
      <c r="AK35" s="53"/>
      <c r="AL35" s="53"/>
      <c r="AM35" s="53"/>
      <c r="AN35" s="53"/>
      <c r="AO35" s="29"/>
      <c r="AP35" s="79"/>
      <c r="AQ35" s="53"/>
      <c r="AR35" s="53"/>
      <c r="AS35" s="53"/>
      <c r="AT35" s="53"/>
      <c r="AU35" s="29"/>
      <c r="AV35" s="79"/>
      <c r="AW35" s="53"/>
      <c r="AX35" s="53"/>
      <c r="AY35" s="53"/>
      <c r="AZ35" s="53"/>
      <c r="BA35" s="53"/>
      <c r="BB35" s="53"/>
      <c r="BC35" s="53"/>
      <c r="BD35" s="53"/>
      <c r="BE35" s="53"/>
      <c r="BF35" s="53"/>
      <c r="BG35" s="53"/>
      <c r="BH35" s="53"/>
      <c r="BI35" s="53"/>
      <c r="BJ35" s="53"/>
    </row>
    <row r="36" spans="1:62" s="30" customFormat="1" ht="18" customHeight="1">
      <c r="A36" s="205"/>
      <c r="B36" s="206" t="s">
        <v>185</v>
      </c>
      <c r="C36" s="207">
        <v>-9340</v>
      </c>
      <c r="D36" s="207">
        <v>9361</v>
      </c>
      <c r="E36" s="207" t="s">
        <v>175</v>
      </c>
      <c r="F36" s="53"/>
      <c r="G36" s="53"/>
      <c r="H36" s="53"/>
      <c r="I36" s="53"/>
      <c r="J36" s="53"/>
      <c r="K36" s="29"/>
      <c r="L36" s="79"/>
      <c r="M36" s="53"/>
      <c r="N36" s="53"/>
      <c r="O36" s="53"/>
      <c r="P36" s="53"/>
      <c r="Q36" s="29"/>
      <c r="R36" s="79"/>
      <c r="S36" s="53"/>
      <c r="T36" s="53"/>
      <c r="U36" s="53"/>
      <c r="V36" s="53"/>
      <c r="W36" s="29"/>
      <c r="X36" s="79"/>
      <c r="Y36" s="53"/>
      <c r="Z36" s="53"/>
      <c r="AA36" s="53"/>
      <c r="AB36" s="53"/>
      <c r="AC36" s="29"/>
      <c r="AD36" s="79"/>
      <c r="AE36" s="53"/>
      <c r="AF36" s="53"/>
      <c r="AG36" s="53"/>
      <c r="AH36" s="53"/>
      <c r="AI36" s="29"/>
      <c r="AJ36" s="79"/>
      <c r="AK36" s="53"/>
      <c r="AL36" s="53"/>
      <c r="AM36" s="53"/>
      <c r="AN36" s="53"/>
      <c r="AO36" s="29"/>
      <c r="AP36" s="79"/>
      <c r="AQ36" s="53"/>
      <c r="AR36" s="53"/>
      <c r="AS36" s="53"/>
      <c r="AT36" s="53"/>
      <c r="AU36" s="29"/>
      <c r="AV36" s="79"/>
      <c r="AW36" s="53"/>
      <c r="AX36" s="53"/>
      <c r="AY36" s="53"/>
      <c r="AZ36" s="53"/>
      <c r="BA36" s="53"/>
      <c r="BB36" s="53"/>
      <c r="BC36" s="53"/>
      <c r="BD36" s="53"/>
      <c r="BE36" s="53"/>
      <c r="BF36" s="53"/>
      <c r="BG36" s="53"/>
      <c r="BH36" s="53"/>
      <c r="BI36" s="53"/>
      <c r="BJ36" s="53"/>
    </row>
    <row r="37" spans="1:62" s="30" customFormat="1" ht="18" customHeight="1">
      <c r="A37" s="205"/>
      <c r="B37" s="206" t="s">
        <v>184</v>
      </c>
      <c r="C37" s="207">
        <v>7040</v>
      </c>
      <c r="D37" s="207">
        <v>9361</v>
      </c>
      <c r="E37" s="207" t="s">
        <v>175</v>
      </c>
      <c r="F37" s="53"/>
      <c r="G37" s="53"/>
      <c r="H37" s="53"/>
      <c r="I37" s="53"/>
      <c r="J37" s="53"/>
      <c r="K37" s="29"/>
      <c r="L37" s="79"/>
      <c r="M37" s="53"/>
      <c r="N37" s="53"/>
      <c r="O37" s="53"/>
      <c r="P37" s="53"/>
      <c r="Q37" s="29"/>
      <c r="R37" s="79"/>
      <c r="S37" s="53"/>
      <c r="T37" s="53"/>
      <c r="U37" s="53"/>
      <c r="V37" s="53"/>
      <c r="W37" s="29"/>
      <c r="X37" s="79"/>
      <c r="Y37" s="53"/>
      <c r="Z37" s="53"/>
      <c r="AA37" s="53"/>
      <c r="AB37" s="53"/>
      <c r="AC37" s="29"/>
      <c r="AD37" s="79"/>
      <c r="AE37" s="53"/>
      <c r="AF37" s="53"/>
      <c r="AG37" s="53"/>
      <c r="AH37" s="53"/>
      <c r="AI37" s="29"/>
      <c r="AJ37" s="79"/>
      <c r="AK37" s="53"/>
      <c r="AL37" s="53"/>
      <c r="AM37" s="53"/>
      <c r="AN37" s="53"/>
      <c r="AO37" s="29"/>
      <c r="AP37" s="79"/>
      <c r="AQ37" s="53"/>
      <c r="AR37" s="53"/>
      <c r="AS37" s="53"/>
      <c r="AT37" s="53"/>
      <c r="AU37" s="29"/>
      <c r="AV37" s="79"/>
      <c r="AW37" s="53"/>
      <c r="AX37" s="53"/>
      <c r="AY37" s="53"/>
      <c r="AZ37" s="53"/>
      <c r="BA37" s="53"/>
      <c r="BB37" s="53"/>
      <c r="BC37" s="53"/>
      <c r="BD37" s="53"/>
      <c r="BE37" s="53"/>
      <c r="BF37" s="53"/>
      <c r="BG37" s="53"/>
      <c r="BH37" s="53"/>
      <c r="BI37" s="53"/>
      <c r="BJ37" s="53"/>
    </row>
    <row r="38" spans="1:62" s="30" customFormat="1" ht="18" customHeight="1">
      <c r="A38" s="205"/>
      <c r="B38" s="206" t="s">
        <v>183</v>
      </c>
      <c r="C38" s="207">
        <v>-7332</v>
      </c>
      <c r="D38" s="207">
        <v>9268.5</v>
      </c>
      <c r="E38" s="207" t="s">
        <v>175</v>
      </c>
      <c r="F38" s="53"/>
      <c r="G38" s="53"/>
      <c r="H38" s="53"/>
      <c r="I38" s="53"/>
      <c r="J38" s="53"/>
      <c r="K38" s="29"/>
      <c r="L38" s="79"/>
      <c r="M38" s="53"/>
      <c r="N38" s="53"/>
      <c r="O38" s="53"/>
      <c r="P38" s="53"/>
      <c r="Q38" s="29"/>
      <c r="R38" s="79"/>
      <c r="S38" s="53"/>
      <c r="T38" s="53"/>
      <c r="U38" s="53"/>
      <c r="V38" s="53"/>
      <c r="W38" s="29"/>
      <c r="X38" s="79"/>
      <c r="Y38" s="53"/>
      <c r="Z38" s="53"/>
      <c r="AA38" s="53"/>
      <c r="AB38" s="53"/>
      <c r="AC38" s="29"/>
      <c r="AD38" s="79"/>
      <c r="AE38" s="53"/>
      <c r="AF38" s="53"/>
      <c r="AG38" s="53"/>
      <c r="AH38" s="53"/>
      <c r="AI38" s="29"/>
      <c r="AJ38" s="79"/>
      <c r="AK38" s="53"/>
      <c r="AL38" s="53"/>
      <c r="AM38" s="53"/>
      <c r="AN38" s="53"/>
      <c r="AO38" s="29"/>
      <c r="AP38" s="79"/>
      <c r="AQ38" s="53"/>
      <c r="AR38" s="53"/>
      <c r="AS38" s="53"/>
      <c r="AT38" s="53"/>
      <c r="AU38" s="29"/>
      <c r="AV38" s="79"/>
      <c r="AW38" s="53"/>
      <c r="AX38" s="53"/>
      <c r="AY38" s="53"/>
      <c r="AZ38" s="53"/>
      <c r="BA38" s="53"/>
      <c r="BB38" s="53"/>
      <c r="BC38" s="53"/>
      <c r="BD38" s="53"/>
      <c r="BE38" s="53"/>
      <c r="BF38" s="53"/>
      <c r="BG38" s="53"/>
      <c r="BH38" s="53"/>
      <c r="BI38" s="53"/>
      <c r="BJ38" s="53"/>
    </row>
    <row r="39" spans="1:62" s="30" customFormat="1" ht="18" customHeight="1">
      <c r="A39" s="208"/>
      <c r="B39" s="209" t="s">
        <v>182</v>
      </c>
      <c r="C39" s="210">
        <v>7040</v>
      </c>
      <c r="D39" s="210">
        <v>9239.5</v>
      </c>
      <c r="E39" s="210" t="s">
        <v>175</v>
      </c>
      <c r="F39" s="53"/>
      <c r="G39" s="53"/>
      <c r="H39" s="53"/>
      <c r="I39" s="53"/>
      <c r="J39" s="53"/>
      <c r="K39" s="29"/>
      <c r="L39" s="79"/>
      <c r="M39" s="53"/>
      <c r="N39" s="53"/>
      <c r="O39" s="53"/>
      <c r="P39" s="53"/>
      <c r="Q39" s="29"/>
      <c r="R39" s="79"/>
      <c r="S39" s="53"/>
      <c r="T39" s="53"/>
      <c r="U39" s="53"/>
      <c r="V39" s="53"/>
      <c r="W39" s="29"/>
      <c r="X39" s="79"/>
      <c r="Y39" s="53"/>
      <c r="Z39" s="53"/>
      <c r="AA39" s="53"/>
      <c r="AB39" s="53"/>
      <c r="AC39" s="29"/>
      <c r="AD39" s="79"/>
      <c r="AE39" s="53"/>
      <c r="AF39" s="53"/>
      <c r="AG39" s="53"/>
      <c r="AH39" s="53"/>
      <c r="AI39" s="29"/>
      <c r="AJ39" s="79"/>
      <c r="AK39" s="53"/>
      <c r="AL39" s="53"/>
      <c r="AM39" s="53"/>
      <c r="AN39" s="53"/>
      <c r="AO39" s="29"/>
      <c r="AP39" s="79"/>
      <c r="AQ39" s="53"/>
      <c r="AR39" s="53"/>
      <c r="AS39" s="53"/>
      <c r="AT39" s="53"/>
      <c r="AU39" s="29"/>
      <c r="AV39" s="79"/>
      <c r="AW39" s="53"/>
      <c r="AX39" s="53"/>
      <c r="AY39" s="53"/>
      <c r="AZ39" s="53"/>
      <c r="BA39" s="53"/>
      <c r="BB39" s="53"/>
      <c r="BC39" s="53"/>
      <c r="BD39" s="53"/>
      <c r="BE39" s="53"/>
      <c r="BF39" s="53"/>
      <c r="BG39" s="53"/>
      <c r="BH39" s="53"/>
      <c r="BI39" s="53"/>
      <c r="BJ39" s="53"/>
    </row>
    <row r="40" spans="1:62" s="30" customFormat="1" ht="18" customHeight="1">
      <c r="A40" s="208"/>
      <c r="B40" s="209" t="s">
        <v>181</v>
      </c>
      <c r="C40" s="210">
        <v>7040</v>
      </c>
      <c r="D40" s="210">
        <v>9172.5</v>
      </c>
      <c r="E40" s="210" t="s">
        <v>175</v>
      </c>
      <c r="F40" s="53"/>
      <c r="G40" s="53"/>
      <c r="H40" s="53"/>
      <c r="I40" s="53"/>
      <c r="J40" s="53"/>
      <c r="K40" s="29"/>
      <c r="L40" s="79"/>
      <c r="M40" s="53"/>
      <c r="N40" s="53"/>
      <c r="O40" s="53"/>
      <c r="P40" s="53"/>
      <c r="Q40" s="29"/>
      <c r="R40" s="79"/>
      <c r="S40" s="53"/>
      <c r="T40" s="53"/>
      <c r="U40" s="53"/>
      <c r="V40" s="53"/>
      <c r="W40" s="29"/>
      <c r="X40" s="79"/>
      <c r="Y40" s="53"/>
      <c r="Z40" s="53"/>
      <c r="AA40" s="53"/>
      <c r="AB40" s="53"/>
      <c r="AC40" s="29"/>
      <c r="AD40" s="79"/>
      <c r="AE40" s="53"/>
      <c r="AF40" s="53"/>
      <c r="AG40" s="53"/>
      <c r="AH40" s="53"/>
      <c r="AI40" s="29"/>
      <c r="AJ40" s="79"/>
      <c r="AK40" s="53"/>
      <c r="AL40" s="53"/>
      <c r="AM40" s="53"/>
      <c r="AN40" s="53"/>
      <c r="AO40" s="29"/>
      <c r="AP40" s="79"/>
      <c r="AQ40" s="53"/>
      <c r="AR40" s="53"/>
      <c r="AS40" s="53"/>
      <c r="AT40" s="53"/>
      <c r="AU40" s="29"/>
      <c r="AV40" s="79"/>
      <c r="AW40" s="53"/>
      <c r="AX40" s="53"/>
      <c r="AY40" s="53"/>
      <c r="AZ40" s="53"/>
      <c r="BA40" s="53"/>
      <c r="BB40" s="53"/>
      <c r="BC40" s="53"/>
      <c r="BD40" s="53"/>
      <c r="BE40" s="53"/>
      <c r="BF40" s="53"/>
      <c r="BG40" s="53"/>
      <c r="BH40" s="53"/>
      <c r="BI40" s="53"/>
      <c r="BJ40" s="53"/>
    </row>
    <row r="41" spans="1:62" s="30" customFormat="1" ht="18" customHeight="1">
      <c r="A41" s="208"/>
      <c r="B41" s="209" t="s">
        <v>180</v>
      </c>
      <c r="C41" s="210">
        <v>7040</v>
      </c>
      <c r="D41" s="210">
        <v>9108</v>
      </c>
      <c r="E41" s="210" t="s">
        <v>175</v>
      </c>
      <c r="F41" s="53"/>
      <c r="G41" s="53"/>
      <c r="H41" s="53"/>
      <c r="I41" s="53"/>
      <c r="J41" s="53"/>
      <c r="K41" s="29"/>
      <c r="L41" s="79"/>
      <c r="M41" s="53"/>
      <c r="N41" s="53"/>
      <c r="O41" s="53"/>
      <c r="P41" s="53"/>
      <c r="Q41" s="29"/>
      <c r="R41" s="79"/>
      <c r="S41" s="53"/>
      <c r="T41" s="53"/>
      <c r="U41" s="53"/>
      <c r="V41" s="53"/>
      <c r="W41" s="29"/>
      <c r="X41" s="79"/>
      <c r="Y41" s="53"/>
      <c r="Z41" s="53"/>
      <c r="AA41" s="53"/>
      <c r="AB41" s="53"/>
      <c r="AC41" s="29"/>
      <c r="AD41" s="79"/>
      <c r="AE41" s="53"/>
      <c r="AF41" s="53"/>
      <c r="AG41" s="53"/>
      <c r="AH41" s="53"/>
      <c r="AI41" s="29"/>
      <c r="AJ41" s="79"/>
      <c r="AK41" s="53"/>
      <c r="AL41" s="53"/>
      <c r="AM41" s="53"/>
      <c r="AN41" s="53"/>
      <c r="AO41" s="29"/>
      <c r="AP41" s="79"/>
      <c r="AQ41" s="53"/>
      <c r="AR41" s="53"/>
      <c r="AS41" s="53"/>
      <c r="AT41" s="53"/>
      <c r="AU41" s="29"/>
      <c r="AV41" s="79"/>
      <c r="AW41" s="53"/>
      <c r="AX41" s="53"/>
      <c r="AY41" s="53"/>
      <c r="AZ41" s="53"/>
      <c r="BA41" s="53"/>
      <c r="BB41" s="53"/>
      <c r="BC41" s="53"/>
      <c r="BD41" s="53"/>
      <c r="BE41" s="53"/>
      <c r="BF41" s="53"/>
      <c r="BG41" s="53"/>
      <c r="BH41" s="53"/>
      <c r="BI41" s="53"/>
      <c r="BJ41" s="53"/>
    </row>
    <row r="42" spans="1:62" s="30" customFormat="1" ht="18" customHeight="1">
      <c r="A42" s="208"/>
      <c r="B42" s="209" t="s">
        <v>179</v>
      </c>
      <c r="C42" s="210">
        <v>7040</v>
      </c>
      <c r="D42" s="210">
        <v>9048</v>
      </c>
      <c r="E42" s="210" t="s">
        <v>175</v>
      </c>
      <c r="F42" s="53"/>
      <c r="G42" s="53"/>
      <c r="H42" s="53"/>
      <c r="I42" s="53"/>
      <c r="J42" s="53"/>
      <c r="K42" s="29"/>
      <c r="L42" s="79"/>
      <c r="M42" s="53"/>
      <c r="N42" s="53"/>
      <c r="O42" s="53"/>
      <c r="P42" s="53"/>
      <c r="Q42" s="29"/>
      <c r="R42" s="79"/>
      <c r="S42" s="53"/>
      <c r="T42" s="53"/>
      <c r="U42" s="53"/>
      <c r="V42" s="53"/>
      <c r="W42" s="29"/>
      <c r="X42" s="79"/>
      <c r="Y42" s="53"/>
      <c r="Z42" s="53"/>
      <c r="AA42" s="53"/>
      <c r="AB42" s="53"/>
      <c r="AC42" s="29"/>
      <c r="AD42" s="79"/>
      <c r="AE42" s="53"/>
      <c r="AF42" s="53"/>
      <c r="AG42" s="53"/>
      <c r="AH42" s="53"/>
      <c r="AI42" s="29"/>
      <c r="AJ42" s="79"/>
      <c r="AK42" s="53"/>
      <c r="AL42" s="53"/>
      <c r="AM42" s="53"/>
      <c r="AN42" s="53"/>
      <c r="AO42" s="29"/>
      <c r="AP42" s="79"/>
      <c r="AQ42" s="53"/>
      <c r="AR42" s="53"/>
      <c r="AS42" s="53"/>
      <c r="AT42" s="53"/>
      <c r="AU42" s="29"/>
      <c r="AV42" s="79"/>
      <c r="AW42" s="53"/>
      <c r="AX42" s="53"/>
      <c r="AY42" s="53"/>
      <c r="AZ42" s="53"/>
      <c r="BA42" s="53"/>
      <c r="BB42" s="53"/>
      <c r="BC42" s="53"/>
      <c r="BD42" s="53"/>
      <c r="BE42" s="53"/>
      <c r="BF42" s="53"/>
      <c r="BG42" s="53"/>
      <c r="BH42" s="53"/>
      <c r="BI42" s="53"/>
      <c r="BJ42" s="53"/>
    </row>
    <row r="43" spans="1:62" s="30" customFormat="1" ht="18" customHeight="1">
      <c r="A43" s="208"/>
      <c r="B43" s="209" t="s">
        <v>178</v>
      </c>
      <c r="C43" s="210">
        <v>-9340</v>
      </c>
      <c r="D43" s="210">
        <v>9010</v>
      </c>
      <c r="E43" s="210" t="s">
        <v>175</v>
      </c>
      <c r="F43" s="53"/>
      <c r="G43" s="53"/>
      <c r="H43" s="53"/>
      <c r="I43" s="53"/>
      <c r="J43" s="53"/>
      <c r="K43" s="29"/>
      <c r="L43" s="79"/>
      <c r="M43" s="53"/>
      <c r="N43" s="53"/>
      <c r="O43" s="53"/>
      <c r="P43" s="53"/>
      <c r="Q43" s="29"/>
      <c r="R43" s="79"/>
      <c r="S43" s="53"/>
      <c r="T43" s="53"/>
      <c r="U43" s="53"/>
      <c r="V43" s="53"/>
      <c r="W43" s="29"/>
      <c r="X43" s="79"/>
      <c r="Y43" s="53"/>
      <c r="Z43" s="53"/>
      <c r="AA43" s="53"/>
      <c r="AB43" s="53"/>
      <c r="AC43" s="29"/>
      <c r="AD43" s="79"/>
      <c r="AE43" s="53"/>
      <c r="AF43" s="53"/>
      <c r="AG43" s="53"/>
      <c r="AH43" s="53"/>
      <c r="AI43" s="29"/>
      <c r="AJ43" s="79"/>
      <c r="AK43" s="53"/>
      <c r="AL43" s="53"/>
      <c r="AM43" s="53"/>
      <c r="AN43" s="53"/>
      <c r="AO43" s="29"/>
      <c r="AP43" s="79"/>
      <c r="AQ43" s="53"/>
      <c r="AR43" s="53"/>
      <c r="AS43" s="53"/>
      <c r="AT43" s="53"/>
      <c r="AU43" s="29"/>
      <c r="AV43" s="79"/>
      <c r="AW43" s="53"/>
      <c r="AX43" s="53"/>
      <c r="AY43" s="53"/>
      <c r="AZ43" s="53"/>
      <c r="BA43" s="53"/>
      <c r="BB43" s="53"/>
      <c r="BC43" s="53"/>
      <c r="BD43" s="53"/>
      <c r="BE43" s="53"/>
      <c r="BF43" s="53"/>
      <c r="BG43" s="53"/>
      <c r="BH43" s="53"/>
      <c r="BI43" s="53"/>
      <c r="BJ43" s="53"/>
    </row>
    <row r="44" spans="1:62" ht="18" customHeight="1">
      <c r="A44" s="208"/>
      <c r="B44" s="209" t="s">
        <v>177</v>
      </c>
      <c r="C44" s="210">
        <v>-50</v>
      </c>
      <c r="D44" s="210">
        <v>-7394</v>
      </c>
      <c r="E44" s="210" t="s">
        <v>175</v>
      </c>
      <c r="F44" s="22"/>
      <c r="G44" s="22"/>
      <c r="H44" s="22"/>
      <c r="I44" s="22"/>
      <c r="J44" s="22"/>
      <c r="K44" s="30"/>
      <c r="L44" s="33"/>
      <c r="M44" s="30"/>
      <c r="N44" s="30"/>
      <c r="O44" s="30"/>
      <c r="P44" s="30"/>
      <c r="Q44" s="30"/>
      <c r="R44" s="33"/>
      <c r="S44" s="30"/>
      <c r="T44" s="30"/>
      <c r="U44" s="30"/>
      <c r="V44" s="30"/>
      <c r="W44" s="30"/>
      <c r="X44" s="33"/>
    </row>
    <row r="45" spans="1:62" ht="18" customHeight="1">
      <c r="A45" s="208"/>
      <c r="B45" s="209" t="s">
        <v>176</v>
      </c>
      <c r="C45" s="210">
        <v>-50</v>
      </c>
      <c r="D45" s="210">
        <v>-7454</v>
      </c>
      <c r="E45" s="210" t="s">
        <v>175</v>
      </c>
      <c r="F45" s="22"/>
      <c r="G45" s="22"/>
      <c r="H45" s="22"/>
      <c r="I45" s="22"/>
      <c r="J45" s="22"/>
      <c r="K45" s="30"/>
      <c r="L45" s="33"/>
      <c r="M45" s="30"/>
      <c r="N45" s="30"/>
      <c r="O45" s="30"/>
      <c r="P45" s="30"/>
      <c r="Q45" s="30"/>
      <c r="R45" s="33"/>
      <c r="S45" s="30"/>
      <c r="T45" s="30"/>
      <c r="U45" s="30"/>
      <c r="V45" s="30"/>
      <c r="W45" s="30"/>
      <c r="X45" s="33"/>
    </row>
    <row r="46" spans="1:62" ht="18" customHeight="1">
      <c r="A46" s="22"/>
      <c r="B46" s="32"/>
      <c r="C46" s="140"/>
      <c r="D46" s="140"/>
      <c r="E46" s="22"/>
      <c r="F46" s="22"/>
      <c r="G46" s="22"/>
      <c r="H46" s="22"/>
      <c r="I46" s="22"/>
      <c r="J46" s="22"/>
      <c r="K46" s="30"/>
      <c r="L46" s="33"/>
      <c r="M46" s="30"/>
      <c r="N46" s="30"/>
      <c r="O46" s="30"/>
      <c r="P46" s="30"/>
      <c r="Q46" s="30"/>
      <c r="R46" s="33"/>
      <c r="S46" s="30"/>
      <c r="T46" s="30"/>
      <c r="U46" s="30"/>
      <c r="V46" s="30"/>
      <c r="W46" s="30"/>
      <c r="X46" s="33"/>
    </row>
    <row r="47" spans="1:62" ht="18" customHeight="1">
      <c r="A47" s="22"/>
      <c r="B47" s="32"/>
      <c r="C47" s="140"/>
      <c r="D47" s="140"/>
      <c r="E47" s="22"/>
      <c r="F47" s="22"/>
      <c r="G47" s="22"/>
      <c r="H47" s="22"/>
      <c r="I47" s="22"/>
      <c r="J47" s="22"/>
      <c r="K47" s="30"/>
      <c r="L47" s="33"/>
      <c r="M47" s="30"/>
      <c r="N47" s="30"/>
      <c r="O47" s="30"/>
      <c r="P47" s="30"/>
      <c r="Q47" s="30"/>
      <c r="R47" s="33"/>
      <c r="S47" s="30"/>
      <c r="T47" s="30"/>
      <c r="U47" s="30"/>
      <c r="V47" s="30"/>
      <c r="W47" s="30"/>
      <c r="X47" s="33"/>
    </row>
    <row r="48" spans="1:62" ht="18" customHeight="1">
      <c r="A48" s="22"/>
      <c r="B48" s="32"/>
      <c r="C48" s="140"/>
      <c r="D48" s="140"/>
      <c r="E48" s="22"/>
      <c r="F48" s="22"/>
      <c r="G48" s="22"/>
      <c r="H48" s="22"/>
      <c r="I48" s="22"/>
      <c r="J48" s="22"/>
      <c r="K48" s="30"/>
      <c r="L48" s="33"/>
      <c r="M48" s="30"/>
      <c r="N48" s="30"/>
      <c r="O48" s="30"/>
      <c r="P48" s="30"/>
      <c r="Q48" s="30"/>
      <c r="R48" s="33"/>
      <c r="S48" s="30"/>
      <c r="T48" s="30"/>
      <c r="U48" s="30"/>
      <c r="V48" s="30"/>
      <c r="W48" s="30"/>
      <c r="X48" s="33"/>
    </row>
    <row r="49" spans="1:24" ht="18" customHeight="1">
      <c r="A49" s="22"/>
      <c r="B49" s="32"/>
      <c r="C49" s="140"/>
      <c r="D49" s="140"/>
      <c r="E49" s="22"/>
      <c r="F49" s="22"/>
      <c r="G49" s="22"/>
      <c r="H49" s="22"/>
      <c r="I49" s="22"/>
      <c r="J49" s="22"/>
      <c r="K49" s="30"/>
      <c r="L49" s="33"/>
      <c r="M49" s="30"/>
      <c r="N49" s="30"/>
      <c r="O49" s="30"/>
      <c r="P49" s="30"/>
      <c r="Q49" s="30"/>
      <c r="R49" s="33"/>
      <c r="S49" s="30"/>
      <c r="T49" s="30"/>
      <c r="U49" s="30"/>
      <c r="V49" s="30"/>
      <c r="W49" s="30"/>
      <c r="X49" s="33"/>
    </row>
    <row r="50" spans="1:24" ht="18" customHeight="1">
      <c r="A50" s="22"/>
      <c r="B50" s="32"/>
      <c r="C50" s="140"/>
      <c r="D50" s="140"/>
      <c r="E50" s="22"/>
      <c r="F50" s="22"/>
      <c r="G50" s="22"/>
      <c r="H50" s="22"/>
      <c r="I50" s="22"/>
      <c r="J50" s="22"/>
      <c r="K50" s="30"/>
      <c r="L50" s="33"/>
      <c r="M50" s="30"/>
      <c r="N50" s="30"/>
      <c r="O50" s="30"/>
      <c r="P50" s="30"/>
      <c r="Q50" s="30"/>
      <c r="R50" s="33"/>
      <c r="S50" s="30"/>
      <c r="T50" s="30"/>
      <c r="U50" s="30"/>
      <c r="V50" s="30"/>
      <c r="W50" s="30"/>
      <c r="X50" s="33"/>
    </row>
    <row r="51" spans="1:24" ht="18" customHeight="1">
      <c r="A51" s="22"/>
      <c r="B51" s="32"/>
      <c r="C51" s="140"/>
      <c r="D51" s="140"/>
      <c r="E51" s="22"/>
      <c r="F51" s="22"/>
      <c r="G51" s="22"/>
      <c r="H51" s="22"/>
      <c r="I51" s="22"/>
      <c r="J51" s="22"/>
      <c r="K51" s="30"/>
      <c r="L51" s="33"/>
      <c r="M51" s="30"/>
      <c r="N51" s="30"/>
      <c r="O51" s="30"/>
      <c r="P51" s="30"/>
      <c r="Q51" s="30"/>
      <c r="R51" s="33"/>
      <c r="S51" s="30"/>
      <c r="T51" s="30"/>
      <c r="U51" s="30"/>
      <c r="V51" s="30"/>
      <c r="W51" s="30"/>
      <c r="X51" s="33"/>
    </row>
    <row r="52" spans="1:24" ht="18" customHeight="1">
      <c r="A52" s="22"/>
      <c r="B52" s="32"/>
      <c r="C52" s="140"/>
      <c r="D52" s="140"/>
      <c r="E52" s="22"/>
      <c r="F52" s="22"/>
      <c r="G52" s="22"/>
      <c r="H52" s="22"/>
      <c r="I52" s="22"/>
      <c r="J52" s="22"/>
      <c r="K52" s="30"/>
      <c r="L52" s="33"/>
      <c r="M52" s="30"/>
      <c r="N52" s="30"/>
      <c r="O52" s="30"/>
      <c r="P52" s="30"/>
      <c r="Q52" s="30"/>
      <c r="R52" s="33"/>
      <c r="S52" s="30"/>
      <c r="T52" s="30"/>
      <c r="U52" s="30"/>
      <c r="V52" s="30"/>
      <c r="W52" s="30"/>
      <c r="X52" s="33"/>
    </row>
    <row r="53" spans="1:24" ht="18" customHeight="1">
      <c r="A53" s="22"/>
      <c r="B53" s="32"/>
      <c r="C53" s="140"/>
      <c r="D53" s="140"/>
      <c r="E53" s="22"/>
      <c r="F53" s="22"/>
      <c r="G53" s="22"/>
      <c r="H53" s="22"/>
      <c r="I53" s="22"/>
      <c r="J53" s="22"/>
      <c r="K53" s="30"/>
      <c r="L53" s="33"/>
      <c r="M53" s="30"/>
      <c r="N53" s="30"/>
      <c r="O53" s="30"/>
      <c r="P53" s="30"/>
      <c r="Q53" s="30"/>
      <c r="R53" s="33"/>
      <c r="S53" s="30"/>
      <c r="T53" s="30"/>
      <c r="U53" s="30"/>
      <c r="V53" s="30"/>
      <c r="W53" s="30"/>
      <c r="X53" s="33"/>
    </row>
    <row r="54" spans="1:24" ht="18" customHeight="1">
      <c r="A54" s="22"/>
      <c r="B54" s="32"/>
      <c r="C54" s="140"/>
      <c r="D54" s="140"/>
      <c r="E54" s="22"/>
      <c r="F54" s="22"/>
      <c r="G54" s="22"/>
      <c r="H54" s="22"/>
      <c r="I54" s="22"/>
      <c r="J54" s="22"/>
      <c r="K54" s="30"/>
      <c r="L54" s="33"/>
      <c r="M54" s="30"/>
      <c r="N54" s="30"/>
      <c r="O54" s="30"/>
      <c r="P54" s="30"/>
      <c r="Q54" s="30"/>
      <c r="R54" s="33"/>
      <c r="S54" s="30"/>
      <c r="T54" s="30"/>
      <c r="U54" s="30"/>
      <c r="V54" s="30"/>
      <c r="W54" s="30"/>
      <c r="X54" s="33"/>
    </row>
    <row r="55" spans="1:24" ht="18" customHeight="1">
      <c r="A55" s="22"/>
      <c r="B55" s="32"/>
      <c r="C55" s="140"/>
      <c r="D55" s="140"/>
      <c r="E55" s="22"/>
      <c r="F55" s="22"/>
      <c r="G55" s="22"/>
      <c r="H55" s="22"/>
      <c r="I55" s="22"/>
      <c r="J55" s="22"/>
      <c r="K55" s="30"/>
      <c r="L55" s="33"/>
      <c r="M55" s="30"/>
      <c r="N55" s="30"/>
      <c r="O55" s="30"/>
      <c r="P55" s="30"/>
      <c r="Q55" s="30"/>
      <c r="R55" s="33"/>
      <c r="S55" s="30"/>
      <c r="T55" s="30"/>
      <c r="U55" s="30"/>
      <c r="V55" s="30"/>
      <c r="W55" s="30"/>
      <c r="X55" s="33"/>
    </row>
    <row r="56" spans="1:24" ht="18" customHeight="1">
      <c r="A56" s="22"/>
      <c r="B56" s="32"/>
      <c r="C56" s="140"/>
      <c r="D56" s="140"/>
      <c r="E56" s="22"/>
      <c r="F56" s="22"/>
      <c r="G56" s="22"/>
      <c r="H56" s="22"/>
      <c r="I56" s="22"/>
      <c r="J56" s="22"/>
      <c r="K56" s="30"/>
      <c r="L56" s="33"/>
      <c r="M56" s="30"/>
      <c r="N56" s="30"/>
      <c r="O56" s="30"/>
      <c r="P56" s="30"/>
      <c r="Q56" s="30"/>
      <c r="R56" s="33"/>
      <c r="S56" s="30"/>
      <c r="T56" s="30"/>
      <c r="U56" s="30"/>
      <c r="V56" s="30"/>
      <c r="W56" s="30"/>
      <c r="X56" s="33"/>
    </row>
    <row r="57" spans="1:24" ht="18" customHeight="1">
      <c r="A57" s="22"/>
      <c r="B57" s="32"/>
      <c r="C57" s="140"/>
      <c r="D57" s="140"/>
      <c r="E57" s="22"/>
      <c r="F57" s="22"/>
      <c r="G57" s="22"/>
      <c r="H57" s="22"/>
      <c r="I57" s="22"/>
      <c r="J57" s="22"/>
      <c r="K57" s="30"/>
      <c r="L57" s="33"/>
      <c r="M57" s="30"/>
      <c r="N57" s="30"/>
      <c r="O57" s="30"/>
      <c r="P57" s="30"/>
      <c r="Q57" s="30"/>
      <c r="R57" s="33"/>
      <c r="S57" s="30"/>
      <c r="T57" s="30"/>
      <c r="U57" s="30"/>
      <c r="V57" s="30"/>
      <c r="W57" s="30"/>
      <c r="X57" s="33"/>
    </row>
    <row r="58" spans="1:24" ht="18" customHeight="1">
      <c r="A58" s="22"/>
      <c r="B58" s="32"/>
      <c r="C58" s="140"/>
      <c r="D58" s="140"/>
      <c r="E58" s="22"/>
      <c r="F58" s="22"/>
      <c r="G58" s="22"/>
      <c r="H58" s="22"/>
      <c r="I58" s="22"/>
      <c r="J58" s="22"/>
      <c r="K58" s="30"/>
      <c r="L58" s="33"/>
      <c r="M58" s="30"/>
      <c r="N58" s="30"/>
      <c r="O58" s="30"/>
      <c r="P58" s="30"/>
      <c r="Q58" s="30"/>
      <c r="R58" s="33"/>
      <c r="S58" s="30"/>
      <c r="T58" s="30"/>
      <c r="U58" s="30"/>
      <c r="V58" s="30"/>
      <c r="W58" s="30"/>
      <c r="X58" s="33"/>
    </row>
    <row r="59" spans="1:24" ht="18" customHeight="1">
      <c r="A59" s="22"/>
      <c r="B59" s="32"/>
      <c r="C59" s="140"/>
      <c r="D59" s="140"/>
      <c r="E59" s="22"/>
      <c r="F59" s="22"/>
      <c r="G59" s="22"/>
      <c r="H59" s="22"/>
      <c r="I59" s="22"/>
      <c r="J59" s="22"/>
      <c r="K59" s="30"/>
      <c r="L59" s="33"/>
      <c r="M59" s="30"/>
      <c r="N59" s="30"/>
      <c r="O59" s="30"/>
      <c r="P59" s="30"/>
      <c r="Q59" s="30"/>
      <c r="R59" s="33"/>
      <c r="S59" s="30"/>
      <c r="T59" s="30"/>
      <c r="U59" s="30"/>
      <c r="V59" s="30"/>
      <c r="W59" s="30"/>
      <c r="X59" s="33"/>
    </row>
    <row r="60" spans="1:24" ht="18" customHeight="1">
      <c r="A60" s="22"/>
      <c r="B60" s="32"/>
      <c r="C60" s="140"/>
      <c r="D60" s="140"/>
      <c r="E60" s="22"/>
      <c r="F60" s="22"/>
      <c r="G60" s="22"/>
      <c r="H60" s="22"/>
      <c r="I60" s="22"/>
      <c r="J60" s="22"/>
      <c r="K60" s="30"/>
      <c r="L60" s="33"/>
      <c r="M60" s="30"/>
      <c r="N60" s="30"/>
      <c r="O60" s="30"/>
      <c r="P60" s="30"/>
      <c r="Q60" s="30"/>
      <c r="R60" s="33"/>
      <c r="S60" s="30"/>
      <c r="T60" s="30"/>
      <c r="U60" s="30"/>
      <c r="V60" s="30"/>
      <c r="W60" s="30"/>
      <c r="X60" s="33"/>
    </row>
    <row r="61" spans="1:24" ht="18" customHeight="1">
      <c r="A61" s="22"/>
      <c r="B61" s="32"/>
      <c r="C61" s="140"/>
      <c r="D61" s="140"/>
      <c r="E61" s="22"/>
      <c r="F61" s="22"/>
      <c r="G61" s="22"/>
      <c r="H61" s="22"/>
      <c r="I61" s="22"/>
      <c r="J61" s="22"/>
      <c r="K61" s="30"/>
      <c r="L61" s="33"/>
      <c r="M61" s="30"/>
      <c r="N61" s="30"/>
      <c r="O61" s="30"/>
      <c r="P61" s="30"/>
      <c r="Q61" s="30"/>
      <c r="R61" s="33"/>
      <c r="S61" s="30"/>
      <c r="T61" s="30"/>
      <c r="U61" s="30"/>
      <c r="V61" s="30"/>
      <c r="W61" s="30"/>
      <c r="X61" s="33"/>
    </row>
    <row r="62" spans="1:24" ht="18" customHeight="1">
      <c r="A62" s="22"/>
      <c r="B62" s="32"/>
      <c r="C62" s="140"/>
      <c r="D62" s="140"/>
      <c r="E62" s="22"/>
      <c r="F62" s="22"/>
      <c r="G62" s="22"/>
      <c r="H62" s="22"/>
      <c r="I62" s="22"/>
      <c r="J62" s="22"/>
      <c r="K62" s="30"/>
      <c r="L62" s="33"/>
      <c r="M62" s="30"/>
      <c r="N62" s="30"/>
      <c r="O62" s="30"/>
      <c r="P62" s="30"/>
      <c r="Q62" s="30"/>
      <c r="R62" s="33"/>
      <c r="S62" s="30"/>
      <c r="T62" s="30"/>
      <c r="U62" s="30"/>
      <c r="V62" s="30"/>
      <c r="W62" s="30"/>
      <c r="X62" s="33"/>
    </row>
    <row r="63" spans="1:24" ht="18" customHeight="1">
      <c r="A63" s="22"/>
      <c r="B63" s="32"/>
      <c r="C63" s="140"/>
      <c r="D63" s="140"/>
      <c r="E63" s="22"/>
      <c r="F63" s="22"/>
      <c r="G63" s="22"/>
      <c r="H63" s="22"/>
      <c r="I63" s="22"/>
      <c r="J63" s="22"/>
      <c r="K63" s="30"/>
      <c r="L63" s="33"/>
      <c r="M63" s="30"/>
      <c r="N63" s="30"/>
      <c r="O63" s="30"/>
      <c r="P63" s="30"/>
      <c r="Q63" s="30"/>
      <c r="R63" s="33"/>
      <c r="S63" s="30"/>
      <c r="T63" s="30"/>
      <c r="U63" s="30"/>
      <c r="V63" s="30"/>
      <c r="W63" s="30"/>
      <c r="X63" s="33"/>
    </row>
    <row r="64" spans="1:24" ht="18" customHeight="1">
      <c r="A64" s="22"/>
      <c r="B64" s="32"/>
      <c r="C64" s="140"/>
      <c r="D64" s="140"/>
      <c r="E64" s="22"/>
      <c r="F64" s="22"/>
      <c r="G64" s="22"/>
      <c r="H64" s="22"/>
      <c r="I64" s="22"/>
      <c r="J64" s="22"/>
      <c r="K64" s="30"/>
      <c r="L64" s="33"/>
      <c r="M64" s="30"/>
      <c r="N64" s="30"/>
      <c r="O64" s="30"/>
      <c r="P64" s="30"/>
      <c r="Q64" s="30"/>
      <c r="R64" s="33"/>
      <c r="S64" s="30"/>
      <c r="T64" s="30"/>
      <c r="U64" s="30"/>
      <c r="V64" s="30"/>
      <c r="W64" s="30"/>
      <c r="X64" s="33"/>
    </row>
    <row r="65" spans="1:24" ht="18" customHeight="1">
      <c r="A65" s="22"/>
      <c r="B65" s="32"/>
      <c r="C65" s="140"/>
      <c r="D65" s="140"/>
      <c r="E65" s="22"/>
      <c r="F65" s="22"/>
      <c r="G65" s="22"/>
      <c r="H65" s="22"/>
      <c r="I65" s="22"/>
      <c r="J65" s="22"/>
      <c r="K65" s="30"/>
      <c r="L65" s="33"/>
      <c r="M65" s="30"/>
      <c r="N65" s="30"/>
      <c r="O65" s="30"/>
      <c r="P65" s="30"/>
      <c r="Q65" s="30"/>
      <c r="R65" s="33"/>
      <c r="S65" s="30"/>
      <c r="T65" s="30"/>
      <c r="U65" s="30"/>
      <c r="V65" s="30"/>
      <c r="W65" s="30"/>
      <c r="X65" s="33"/>
    </row>
    <row r="66" spans="1:24" ht="18" customHeight="1">
      <c r="A66" s="22"/>
      <c r="B66" s="32"/>
      <c r="C66" s="140"/>
      <c r="D66" s="140"/>
      <c r="E66" s="22"/>
      <c r="F66" s="22"/>
      <c r="G66" s="22"/>
      <c r="H66" s="22"/>
      <c r="I66" s="22"/>
      <c r="J66" s="22"/>
      <c r="K66" s="30"/>
      <c r="L66" s="33"/>
      <c r="M66" s="30"/>
      <c r="N66" s="30"/>
      <c r="O66" s="30"/>
      <c r="P66" s="30"/>
      <c r="Q66" s="30"/>
      <c r="R66" s="33"/>
      <c r="S66" s="30"/>
      <c r="T66" s="30"/>
      <c r="U66" s="30"/>
      <c r="V66" s="30"/>
      <c r="W66" s="30"/>
      <c r="X66" s="33"/>
    </row>
    <row r="67" spans="1:24" ht="18" customHeight="1">
      <c r="A67" s="22"/>
      <c r="B67" s="32"/>
      <c r="C67" s="140"/>
      <c r="D67" s="140"/>
      <c r="E67" s="22"/>
      <c r="F67" s="22"/>
      <c r="G67" s="22"/>
      <c r="H67" s="22"/>
      <c r="I67" s="22"/>
      <c r="J67" s="22"/>
      <c r="K67" s="30"/>
      <c r="L67" s="33"/>
      <c r="M67" s="30"/>
      <c r="N67" s="30"/>
      <c r="O67" s="30"/>
      <c r="P67" s="30"/>
      <c r="Q67" s="30"/>
      <c r="R67" s="33"/>
      <c r="S67" s="30"/>
      <c r="T67" s="30"/>
      <c r="U67" s="30"/>
      <c r="V67" s="30"/>
      <c r="W67" s="30"/>
      <c r="X67" s="33"/>
    </row>
    <row r="68" spans="1:24" ht="18" customHeight="1">
      <c r="A68" s="22"/>
      <c r="B68" s="32"/>
      <c r="C68" s="140"/>
      <c r="D68" s="140"/>
      <c r="E68" s="22"/>
      <c r="F68" s="22"/>
      <c r="G68" s="22"/>
      <c r="H68" s="22"/>
      <c r="I68" s="22"/>
      <c r="J68" s="22"/>
      <c r="K68" s="30"/>
      <c r="L68" s="33"/>
      <c r="M68" s="30"/>
      <c r="N68" s="30"/>
      <c r="O68" s="30"/>
      <c r="P68" s="30"/>
      <c r="Q68" s="30"/>
      <c r="R68" s="33"/>
      <c r="S68" s="30"/>
      <c r="T68" s="30"/>
      <c r="U68" s="30"/>
      <c r="V68" s="30"/>
      <c r="W68" s="30"/>
      <c r="X68" s="33"/>
    </row>
    <row r="69" spans="1:24" ht="18" customHeight="1">
      <c r="A69" s="22"/>
      <c r="B69" s="32"/>
      <c r="C69" s="140"/>
      <c r="D69" s="140"/>
      <c r="E69" s="22"/>
      <c r="F69" s="22"/>
      <c r="G69" s="22"/>
      <c r="H69" s="22"/>
      <c r="I69" s="22"/>
      <c r="J69" s="22"/>
      <c r="K69" s="30"/>
      <c r="L69" s="33"/>
      <c r="M69" s="30"/>
      <c r="N69" s="30"/>
      <c r="O69" s="30"/>
      <c r="P69" s="30"/>
      <c r="Q69" s="30"/>
      <c r="R69" s="33"/>
      <c r="S69" s="30"/>
      <c r="T69" s="30"/>
      <c r="U69" s="30"/>
      <c r="V69" s="30"/>
      <c r="W69" s="30"/>
      <c r="X69" s="33"/>
    </row>
    <row r="70" spans="1:24" ht="18" customHeight="1">
      <c r="A70" s="22"/>
      <c r="B70" s="32"/>
      <c r="C70" s="140"/>
      <c r="D70" s="140"/>
      <c r="E70" s="22"/>
      <c r="F70" s="22"/>
      <c r="G70" s="22"/>
      <c r="H70" s="22"/>
      <c r="I70" s="22"/>
      <c r="J70" s="22"/>
      <c r="K70" s="30"/>
      <c r="L70" s="33"/>
      <c r="M70" s="30"/>
      <c r="N70" s="30"/>
      <c r="O70" s="30"/>
      <c r="P70" s="30"/>
      <c r="Q70" s="30"/>
      <c r="R70" s="33"/>
      <c r="S70" s="30"/>
      <c r="T70" s="30"/>
      <c r="U70" s="30"/>
      <c r="V70" s="30"/>
      <c r="W70" s="30"/>
      <c r="X70" s="33"/>
    </row>
    <row r="71" spans="1:24" ht="18" customHeight="1">
      <c r="A71" s="22"/>
      <c r="B71" s="32"/>
      <c r="C71" s="140"/>
      <c r="D71" s="140"/>
      <c r="E71" s="22"/>
      <c r="F71" s="22"/>
      <c r="G71" s="22"/>
      <c r="H71" s="22"/>
      <c r="I71" s="22"/>
      <c r="J71" s="22"/>
      <c r="K71" s="30"/>
      <c r="L71" s="33"/>
      <c r="M71" s="30"/>
      <c r="N71" s="30"/>
      <c r="O71" s="30"/>
      <c r="P71" s="30"/>
      <c r="Q71" s="30"/>
      <c r="R71" s="33"/>
      <c r="S71" s="30"/>
      <c r="T71" s="30"/>
      <c r="U71" s="30"/>
      <c r="V71" s="30"/>
      <c r="W71" s="30"/>
      <c r="X71" s="33"/>
    </row>
    <row r="72" spans="1:24" ht="18" customHeight="1">
      <c r="A72" s="22"/>
      <c r="B72" s="32"/>
      <c r="C72" s="140"/>
      <c r="D72" s="140"/>
      <c r="E72" s="22"/>
      <c r="F72" s="22"/>
      <c r="G72" s="22"/>
      <c r="H72" s="22"/>
      <c r="I72" s="22"/>
      <c r="J72" s="22"/>
      <c r="K72" s="30"/>
      <c r="L72" s="33"/>
      <c r="M72" s="30"/>
      <c r="N72" s="30"/>
      <c r="O72" s="30"/>
      <c r="P72" s="30"/>
      <c r="Q72" s="30"/>
      <c r="R72" s="33"/>
      <c r="S72" s="30"/>
      <c r="T72" s="30"/>
      <c r="U72" s="30"/>
      <c r="V72" s="30"/>
      <c r="W72" s="30"/>
      <c r="X72" s="33"/>
    </row>
    <row r="73" spans="1:24" ht="18" customHeight="1">
      <c r="A73" s="22"/>
      <c r="B73" s="32"/>
      <c r="C73" s="140"/>
      <c r="D73" s="140"/>
      <c r="E73" s="22"/>
      <c r="F73" s="22"/>
      <c r="G73" s="22"/>
      <c r="H73" s="22"/>
      <c r="I73" s="22"/>
      <c r="J73" s="22"/>
      <c r="K73" s="30"/>
      <c r="L73" s="33"/>
      <c r="M73" s="30"/>
      <c r="N73" s="30"/>
      <c r="O73" s="30"/>
      <c r="P73" s="30"/>
      <c r="Q73" s="30"/>
      <c r="R73" s="33"/>
      <c r="S73" s="30"/>
      <c r="T73" s="30"/>
      <c r="U73" s="30"/>
      <c r="V73" s="30"/>
      <c r="W73" s="30"/>
      <c r="X73" s="33"/>
    </row>
    <row r="74" spans="1:24" ht="18" customHeight="1">
      <c r="A74" s="22"/>
      <c r="B74" s="32"/>
      <c r="C74" s="140"/>
      <c r="D74" s="140"/>
      <c r="E74" s="22"/>
      <c r="F74" s="22"/>
      <c r="G74" s="22"/>
      <c r="H74" s="22"/>
      <c r="I74" s="22"/>
      <c r="J74" s="22"/>
      <c r="K74" s="30"/>
      <c r="L74" s="33"/>
      <c r="M74" s="30"/>
      <c r="N74" s="30"/>
      <c r="O74" s="30"/>
      <c r="P74" s="30"/>
      <c r="Q74" s="30"/>
      <c r="R74" s="33"/>
      <c r="S74" s="30"/>
      <c r="T74" s="30"/>
      <c r="U74" s="30"/>
      <c r="V74" s="30"/>
      <c r="W74" s="30"/>
      <c r="X74" s="33"/>
    </row>
    <row r="75" spans="1:24" ht="18" customHeight="1">
      <c r="A75" s="22"/>
      <c r="B75" s="32"/>
      <c r="C75" s="140"/>
      <c r="D75" s="140"/>
      <c r="E75" s="22"/>
      <c r="F75" s="22"/>
      <c r="G75" s="22"/>
      <c r="H75" s="22"/>
      <c r="I75" s="22"/>
      <c r="J75" s="22"/>
      <c r="K75" s="30"/>
      <c r="L75" s="33"/>
      <c r="M75" s="30"/>
      <c r="N75" s="30"/>
      <c r="O75" s="30"/>
      <c r="P75" s="30"/>
      <c r="Q75" s="30"/>
      <c r="R75" s="33"/>
      <c r="S75" s="30"/>
      <c r="T75" s="30"/>
      <c r="U75" s="30"/>
      <c r="V75" s="30"/>
      <c r="W75" s="30"/>
      <c r="X75" s="33"/>
    </row>
    <row r="76" spans="1:24" ht="18" customHeight="1">
      <c r="A76" s="22"/>
      <c r="B76" s="32"/>
      <c r="C76" s="140"/>
      <c r="D76" s="140"/>
      <c r="E76" s="22"/>
      <c r="F76" s="22"/>
      <c r="G76" s="22"/>
      <c r="H76" s="22"/>
      <c r="I76" s="22"/>
      <c r="J76" s="22"/>
      <c r="K76" s="30"/>
      <c r="L76" s="33"/>
      <c r="M76" s="30"/>
      <c r="N76" s="30"/>
      <c r="O76" s="30"/>
      <c r="P76" s="30"/>
      <c r="Q76" s="30"/>
      <c r="R76" s="33"/>
      <c r="S76" s="30"/>
      <c r="T76" s="30"/>
      <c r="U76" s="30"/>
      <c r="V76" s="30"/>
      <c r="W76" s="30"/>
      <c r="X76" s="33"/>
    </row>
    <row r="77" spans="1:24" ht="18" customHeight="1">
      <c r="A77" s="22"/>
      <c r="B77" s="32"/>
      <c r="C77" s="140"/>
      <c r="D77" s="140"/>
      <c r="E77" s="22"/>
      <c r="F77" s="22"/>
      <c r="G77" s="22"/>
      <c r="H77" s="22"/>
      <c r="I77" s="22"/>
      <c r="J77" s="22"/>
      <c r="K77" s="30"/>
      <c r="L77" s="33"/>
      <c r="M77" s="30"/>
      <c r="N77" s="30"/>
      <c r="O77" s="30"/>
      <c r="P77" s="30"/>
      <c r="Q77" s="30"/>
      <c r="R77" s="33"/>
      <c r="S77" s="30"/>
      <c r="T77" s="30"/>
      <c r="U77" s="30"/>
      <c r="V77" s="30"/>
      <c r="W77" s="30"/>
      <c r="X77" s="33"/>
    </row>
    <row r="78" spans="1:24" ht="18" customHeight="1">
      <c r="A78" s="22"/>
      <c r="B78" s="32"/>
      <c r="C78" s="140"/>
      <c r="D78" s="140"/>
      <c r="E78" s="22"/>
      <c r="F78" s="22"/>
      <c r="G78" s="22"/>
      <c r="H78" s="22"/>
      <c r="I78" s="22"/>
      <c r="J78" s="22"/>
      <c r="K78" s="30"/>
      <c r="L78" s="33"/>
      <c r="M78" s="30"/>
      <c r="N78" s="30"/>
      <c r="O78" s="30"/>
      <c r="P78" s="30"/>
      <c r="Q78" s="30"/>
      <c r="R78" s="33"/>
      <c r="S78" s="30"/>
      <c r="T78" s="30"/>
      <c r="U78" s="30"/>
      <c r="V78" s="30"/>
      <c r="W78" s="30"/>
      <c r="X78" s="33"/>
    </row>
    <row r="79" spans="1:24" ht="18" customHeight="1">
      <c r="A79" s="22"/>
      <c r="B79" s="32"/>
      <c r="C79" s="140"/>
      <c r="D79" s="140"/>
      <c r="E79" s="22"/>
      <c r="F79" s="22"/>
      <c r="G79" s="22"/>
      <c r="H79" s="22"/>
      <c r="I79" s="22"/>
      <c r="J79" s="22"/>
      <c r="K79" s="30"/>
      <c r="L79" s="33"/>
      <c r="M79" s="30"/>
      <c r="N79" s="30"/>
      <c r="O79" s="30"/>
      <c r="P79" s="30"/>
      <c r="Q79" s="30"/>
      <c r="R79" s="33"/>
      <c r="S79" s="30"/>
      <c r="T79" s="30"/>
      <c r="U79" s="30"/>
      <c r="V79" s="30"/>
      <c r="W79" s="30"/>
      <c r="X79" s="33"/>
    </row>
    <row r="80" spans="1:24" ht="18" customHeight="1">
      <c r="A80" s="22"/>
      <c r="B80" s="32"/>
      <c r="C80" s="140"/>
      <c r="D80" s="140"/>
      <c r="E80" s="22"/>
      <c r="F80" s="22"/>
      <c r="G80" s="22"/>
      <c r="H80" s="22"/>
      <c r="I80" s="22"/>
      <c r="J80" s="22"/>
      <c r="K80" s="30"/>
      <c r="L80" s="33"/>
      <c r="M80" s="30"/>
      <c r="N80" s="30"/>
      <c r="O80" s="30"/>
      <c r="P80" s="30"/>
      <c r="Q80" s="30"/>
      <c r="R80" s="33"/>
      <c r="S80" s="30"/>
      <c r="T80" s="30"/>
      <c r="U80" s="30"/>
      <c r="V80" s="30"/>
      <c r="W80" s="30"/>
      <c r="X80" s="33"/>
    </row>
    <row r="81" spans="1:24" ht="18" customHeight="1">
      <c r="A81" s="22"/>
      <c r="B81" s="32"/>
      <c r="C81" s="140"/>
      <c r="D81" s="140"/>
      <c r="E81" s="22"/>
      <c r="F81" s="22"/>
      <c r="G81" s="22"/>
      <c r="H81" s="22"/>
      <c r="I81" s="22"/>
      <c r="J81" s="22"/>
      <c r="K81" s="30"/>
      <c r="L81" s="33"/>
      <c r="M81" s="30"/>
      <c r="N81" s="30"/>
      <c r="O81" s="30"/>
      <c r="P81" s="30"/>
      <c r="Q81" s="30"/>
      <c r="R81" s="33"/>
      <c r="S81" s="30"/>
      <c r="T81" s="30"/>
      <c r="U81" s="30"/>
      <c r="V81" s="30"/>
      <c r="W81" s="30"/>
      <c r="X81" s="33"/>
    </row>
    <row r="82" spans="1:24" ht="18" customHeight="1">
      <c r="A82" s="22"/>
      <c r="B82" s="32"/>
      <c r="C82" s="140"/>
      <c r="D82" s="140"/>
      <c r="E82" s="22"/>
      <c r="F82" s="22"/>
      <c r="G82" s="22"/>
      <c r="H82" s="22"/>
      <c r="I82" s="22"/>
      <c r="J82" s="22"/>
      <c r="K82" s="30"/>
      <c r="L82" s="33"/>
      <c r="M82" s="30"/>
      <c r="N82" s="30"/>
      <c r="O82" s="30"/>
      <c r="P82" s="30"/>
      <c r="Q82" s="30"/>
      <c r="R82" s="33"/>
      <c r="S82" s="30"/>
      <c r="T82" s="30"/>
      <c r="U82" s="30"/>
      <c r="V82" s="30"/>
      <c r="W82" s="30"/>
      <c r="X82" s="33"/>
    </row>
    <row r="83" spans="1:24" ht="18" customHeight="1">
      <c r="A83" s="22"/>
      <c r="B83" s="32"/>
      <c r="C83" s="140"/>
      <c r="D83" s="140"/>
      <c r="E83" s="22"/>
      <c r="F83" s="22"/>
      <c r="G83" s="22"/>
      <c r="H83" s="22"/>
      <c r="I83" s="22"/>
      <c r="J83" s="22"/>
      <c r="K83" s="30"/>
      <c r="L83" s="33"/>
      <c r="M83" s="30"/>
      <c r="N83" s="30"/>
      <c r="O83" s="30"/>
      <c r="P83" s="30"/>
      <c r="Q83" s="30"/>
      <c r="R83" s="33"/>
      <c r="S83" s="30"/>
      <c r="T83" s="30"/>
      <c r="U83" s="30"/>
      <c r="V83" s="30"/>
      <c r="W83" s="30"/>
      <c r="X83" s="33"/>
    </row>
    <row r="84" spans="1:24" ht="18" customHeight="1">
      <c r="A84" s="22"/>
      <c r="B84" s="32"/>
      <c r="C84" s="140"/>
      <c r="D84" s="140"/>
      <c r="E84" s="22"/>
      <c r="F84" s="22"/>
      <c r="G84" s="22"/>
      <c r="H84" s="22"/>
      <c r="I84" s="22"/>
      <c r="J84" s="22"/>
      <c r="K84" s="30"/>
      <c r="L84" s="33"/>
      <c r="M84" s="30"/>
      <c r="N84" s="30"/>
      <c r="O84" s="30"/>
      <c r="P84" s="30"/>
      <c r="Q84" s="30"/>
      <c r="R84" s="33"/>
      <c r="S84" s="30"/>
      <c r="T84" s="30"/>
      <c r="U84" s="30"/>
      <c r="V84" s="30"/>
      <c r="W84" s="30"/>
      <c r="X84" s="33"/>
    </row>
    <row r="85" spans="1:24" ht="18" customHeight="1">
      <c r="A85" s="22"/>
      <c r="B85" s="32"/>
      <c r="C85" s="140"/>
      <c r="D85" s="140"/>
      <c r="E85" s="22"/>
      <c r="F85" s="22"/>
      <c r="G85" s="22"/>
      <c r="H85" s="22"/>
      <c r="I85" s="22"/>
      <c r="J85" s="22"/>
      <c r="K85" s="30"/>
      <c r="L85" s="33"/>
      <c r="M85" s="30"/>
      <c r="N85" s="30"/>
      <c r="O85" s="30"/>
      <c r="P85" s="30"/>
      <c r="Q85" s="30"/>
      <c r="R85" s="33"/>
      <c r="S85" s="30"/>
      <c r="T85" s="30"/>
      <c r="U85" s="30"/>
      <c r="V85" s="30"/>
      <c r="W85" s="30"/>
      <c r="X85" s="33"/>
    </row>
    <row r="86" spans="1:24" ht="18" customHeight="1">
      <c r="A86" s="22"/>
      <c r="B86" s="32"/>
      <c r="C86" s="140"/>
      <c r="D86" s="140"/>
      <c r="E86" s="22"/>
      <c r="F86" s="22"/>
      <c r="G86" s="22"/>
      <c r="H86" s="22"/>
      <c r="I86" s="22"/>
      <c r="J86" s="22"/>
      <c r="K86" s="30"/>
      <c r="L86" s="33"/>
      <c r="M86" s="30"/>
      <c r="N86" s="30"/>
      <c r="O86" s="30"/>
      <c r="P86" s="30"/>
      <c r="Q86" s="30"/>
      <c r="R86" s="33"/>
      <c r="S86" s="30"/>
      <c r="T86" s="30"/>
      <c r="U86" s="30"/>
      <c r="V86" s="30"/>
      <c r="W86" s="30"/>
      <c r="X86" s="33"/>
    </row>
    <row r="87" spans="1:24" ht="18" customHeight="1">
      <c r="A87" s="22"/>
      <c r="B87" s="32"/>
      <c r="C87" s="140"/>
      <c r="D87" s="140"/>
      <c r="E87" s="22"/>
      <c r="F87" s="22"/>
      <c r="G87" s="22"/>
      <c r="H87" s="22"/>
      <c r="I87" s="22"/>
      <c r="J87" s="22"/>
      <c r="K87" s="30"/>
      <c r="L87" s="33"/>
      <c r="M87" s="30"/>
      <c r="N87" s="30"/>
      <c r="O87" s="30"/>
      <c r="P87" s="30"/>
      <c r="Q87" s="30"/>
      <c r="R87" s="33"/>
      <c r="S87" s="30"/>
      <c r="T87" s="30"/>
      <c r="U87" s="30"/>
      <c r="V87" s="30"/>
      <c r="W87" s="30"/>
      <c r="X87" s="33"/>
    </row>
    <row r="88" spans="1:24" ht="18" customHeight="1">
      <c r="A88" s="22"/>
      <c r="B88" s="32"/>
      <c r="C88" s="140"/>
      <c r="D88" s="140"/>
      <c r="E88" s="22"/>
      <c r="F88" s="22"/>
      <c r="G88" s="22"/>
      <c r="H88" s="22"/>
      <c r="I88" s="22"/>
      <c r="J88" s="22"/>
      <c r="K88" s="30"/>
      <c r="L88" s="33"/>
      <c r="M88" s="30"/>
      <c r="N88" s="30"/>
      <c r="O88" s="30"/>
      <c r="P88" s="30"/>
      <c r="Q88" s="30"/>
      <c r="R88" s="33"/>
      <c r="S88" s="30"/>
      <c r="T88" s="30"/>
      <c r="U88" s="30"/>
      <c r="V88" s="30"/>
      <c r="W88" s="30"/>
      <c r="X88" s="33"/>
    </row>
    <row r="89" spans="1:24" ht="18" customHeight="1">
      <c r="A89" s="22"/>
      <c r="B89" s="32"/>
      <c r="C89" s="140"/>
      <c r="D89" s="140"/>
      <c r="E89" s="22"/>
      <c r="F89" s="22"/>
      <c r="G89" s="22"/>
      <c r="H89" s="22"/>
      <c r="I89" s="22"/>
      <c r="J89" s="22"/>
      <c r="K89" s="30"/>
      <c r="L89" s="33"/>
      <c r="M89" s="30"/>
      <c r="N89" s="30"/>
      <c r="O89" s="30"/>
      <c r="P89" s="30"/>
      <c r="Q89" s="30"/>
      <c r="R89" s="33"/>
      <c r="S89" s="30"/>
      <c r="T89" s="30"/>
      <c r="U89" s="30"/>
      <c r="V89" s="30"/>
      <c r="W89" s="30"/>
      <c r="X89" s="33"/>
    </row>
    <row r="90" spans="1:24" ht="18" customHeight="1">
      <c r="A90" s="22"/>
      <c r="B90" s="32"/>
      <c r="C90" s="140"/>
      <c r="D90" s="140"/>
      <c r="E90" s="22"/>
      <c r="F90" s="22"/>
      <c r="G90" s="22"/>
      <c r="H90" s="22"/>
      <c r="I90" s="22"/>
      <c r="J90" s="22"/>
      <c r="K90" s="30"/>
      <c r="L90" s="33"/>
      <c r="M90" s="30"/>
      <c r="N90" s="30"/>
      <c r="O90" s="30"/>
      <c r="P90" s="30"/>
      <c r="Q90" s="30"/>
      <c r="R90" s="33"/>
      <c r="S90" s="30"/>
      <c r="T90" s="30"/>
      <c r="U90" s="30"/>
      <c r="V90" s="30"/>
      <c r="W90" s="30"/>
      <c r="X90" s="33"/>
    </row>
    <row r="91" spans="1:24" ht="18" customHeight="1">
      <c r="A91" s="22"/>
      <c r="B91" s="32"/>
      <c r="C91" s="140"/>
      <c r="D91" s="140"/>
      <c r="E91" s="22"/>
      <c r="F91" s="22"/>
      <c r="G91" s="22"/>
      <c r="H91" s="22"/>
      <c r="I91" s="22"/>
      <c r="J91" s="22"/>
      <c r="K91" s="30"/>
      <c r="L91" s="33"/>
      <c r="M91" s="30"/>
      <c r="N91" s="30"/>
      <c r="O91" s="30"/>
      <c r="P91" s="30"/>
      <c r="Q91" s="30"/>
      <c r="R91" s="33"/>
      <c r="S91" s="30"/>
      <c r="T91" s="30"/>
      <c r="U91" s="30"/>
      <c r="V91" s="30"/>
      <c r="W91" s="30"/>
      <c r="X91" s="33"/>
    </row>
    <row r="92" spans="1:24" ht="18" customHeight="1">
      <c r="A92" s="22"/>
      <c r="B92" s="32"/>
      <c r="C92" s="140"/>
      <c r="D92" s="140"/>
      <c r="E92" s="22"/>
      <c r="F92" s="22"/>
      <c r="G92" s="22"/>
      <c r="H92" s="22"/>
      <c r="I92" s="22"/>
      <c r="J92" s="22"/>
      <c r="K92" s="30"/>
      <c r="L92" s="33"/>
      <c r="M92" s="30"/>
      <c r="N92" s="30"/>
      <c r="O92" s="30"/>
      <c r="P92" s="30"/>
      <c r="Q92" s="30"/>
      <c r="R92" s="33"/>
      <c r="S92" s="30"/>
      <c r="T92" s="30"/>
      <c r="U92" s="30"/>
      <c r="V92" s="30"/>
      <c r="W92" s="30"/>
      <c r="X92" s="33"/>
    </row>
    <row r="93" spans="1:24" ht="18" customHeight="1">
      <c r="A93" s="22"/>
      <c r="B93" s="32"/>
      <c r="C93" s="140"/>
      <c r="D93" s="140"/>
      <c r="E93" s="22"/>
      <c r="F93" s="22"/>
      <c r="G93" s="22"/>
      <c r="H93" s="22"/>
      <c r="I93" s="22"/>
      <c r="J93" s="22"/>
      <c r="K93" s="30"/>
      <c r="L93" s="33"/>
      <c r="M93" s="30"/>
      <c r="N93" s="30"/>
      <c r="O93" s="30"/>
      <c r="P93" s="30"/>
      <c r="Q93" s="30"/>
      <c r="R93" s="33"/>
      <c r="S93" s="30"/>
      <c r="T93" s="30"/>
      <c r="U93" s="30"/>
      <c r="V93" s="30"/>
      <c r="W93" s="30"/>
      <c r="X93" s="33"/>
    </row>
    <row r="94" spans="1:24" ht="18" customHeight="1">
      <c r="A94" s="22"/>
      <c r="B94" s="32"/>
      <c r="C94" s="140"/>
      <c r="D94" s="140"/>
      <c r="E94" s="22"/>
      <c r="F94" s="22"/>
      <c r="G94" s="22"/>
      <c r="H94" s="22"/>
      <c r="I94" s="22"/>
      <c r="J94" s="22"/>
      <c r="K94" s="30"/>
      <c r="L94" s="33"/>
      <c r="M94" s="30"/>
      <c r="N94" s="30"/>
      <c r="O94" s="30"/>
      <c r="P94" s="30"/>
      <c r="Q94" s="30"/>
      <c r="R94" s="33"/>
      <c r="S94" s="30"/>
      <c r="T94" s="30"/>
      <c r="U94" s="30"/>
      <c r="V94" s="30"/>
      <c r="W94" s="30"/>
      <c r="X94" s="33"/>
    </row>
    <row r="95" spans="1:24" ht="18" customHeight="1">
      <c r="A95" s="22"/>
      <c r="B95" s="32"/>
      <c r="C95" s="140"/>
      <c r="D95" s="140"/>
      <c r="E95" s="22"/>
      <c r="F95" s="22"/>
      <c r="G95" s="22"/>
      <c r="H95" s="22"/>
      <c r="I95" s="22"/>
      <c r="J95" s="22"/>
      <c r="K95" s="30"/>
      <c r="L95" s="33"/>
      <c r="M95" s="30"/>
      <c r="N95" s="30"/>
      <c r="O95" s="30"/>
      <c r="P95" s="30"/>
      <c r="Q95" s="30"/>
      <c r="R95" s="33"/>
      <c r="S95" s="30"/>
      <c r="T95" s="30"/>
      <c r="U95" s="30"/>
      <c r="V95" s="30"/>
      <c r="W95" s="30"/>
      <c r="X95" s="33"/>
    </row>
    <row r="96" spans="1:24" ht="18" customHeight="1">
      <c r="A96" s="22"/>
      <c r="B96" s="32"/>
      <c r="C96" s="140"/>
      <c r="D96" s="140"/>
      <c r="E96" s="22"/>
      <c r="F96" s="22"/>
      <c r="G96" s="22"/>
      <c r="H96" s="22"/>
      <c r="I96" s="22"/>
      <c r="J96" s="22"/>
      <c r="K96" s="30"/>
      <c r="L96" s="33"/>
      <c r="M96" s="30"/>
      <c r="N96" s="30"/>
      <c r="O96" s="30"/>
      <c r="P96" s="30"/>
      <c r="Q96" s="30"/>
      <c r="R96" s="33"/>
      <c r="S96" s="30"/>
      <c r="T96" s="30"/>
      <c r="U96" s="30"/>
      <c r="V96" s="30"/>
      <c r="W96" s="30"/>
      <c r="X96" s="33"/>
    </row>
    <row r="97" spans="1:24" ht="18" customHeight="1">
      <c r="A97" s="22"/>
      <c r="B97" s="32"/>
      <c r="C97" s="140"/>
      <c r="D97" s="140"/>
      <c r="E97" s="22"/>
      <c r="F97" s="22"/>
      <c r="G97" s="22"/>
      <c r="H97" s="22"/>
      <c r="I97" s="22"/>
      <c r="J97" s="22"/>
      <c r="K97" s="30"/>
      <c r="L97" s="33"/>
      <c r="M97" s="30"/>
      <c r="N97" s="30"/>
      <c r="O97" s="30"/>
      <c r="P97" s="30"/>
      <c r="Q97" s="30"/>
      <c r="R97" s="33"/>
      <c r="S97" s="30"/>
      <c r="T97" s="30"/>
      <c r="U97" s="30"/>
      <c r="V97" s="30"/>
      <c r="W97" s="30"/>
      <c r="X97" s="33"/>
    </row>
    <row r="98" spans="1:24" ht="18" customHeight="1">
      <c r="A98" s="22"/>
      <c r="B98" s="32"/>
      <c r="C98" s="140"/>
      <c r="D98" s="140"/>
      <c r="E98" s="22"/>
      <c r="F98" s="22"/>
      <c r="G98" s="22"/>
      <c r="H98" s="22"/>
      <c r="I98" s="22"/>
      <c r="J98" s="22"/>
      <c r="K98" s="30"/>
      <c r="L98" s="33"/>
      <c r="M98" s="30"/>
      <c r="N98" s="30"/>
      <c r="O98" s="30"/>
      <c r="P98" s="30"/>
      <c r="Q98" s="30"/>
      <c r="R98" s="33"/>
      <c r="S98" s="30"/>
      <c r="T98" s="30"/>
      <c r="U98" s="30"/>
      <c r="V98" s="30"/>
      <c r="W98" s="30"/>
      <c r="X98" s="33"/>
    </row>
    <row r="99" spans="1:24" ht="18" customHeight="1">
      <c r="A99" s="22"/>
      <c r="B99" s="32"/>
      <c r="C99" s="140"/>
      <c r="D99" s="140"/>
      <c r="E99" s="22"/>
      <c r="F99" s="22"/>
      <c r="G99" s="22"/>
      <c r="H99" s="22"/>
      <c r="I99" s="22"/>
      <c r="J99" s="22"/>
      <c r="K99" s="30"/>
      <c r="L99" s="33"/>
      <c r="M99" s="30"/>
      <c r="N99" s="30"/>
      <c r="O99" s="30"/>
      <c r="P99" s="30"/>
      <c r="Q99" s="30"/>
      <c r="R99" s="33"/>
      <c r="S99" s="30"/>
      <c r="T99" s="30"/>
      <c r="U99" s="30"/>
      <c r="V99" s="30"/>
      <c r="W99" s="30"/>
      <c r="X99" s="33"/>
    </row>
    <row r="100" spans="1:24" ht="18" customHeight="1">
      <c r="A100" s="22"/>
      <c r="B100" s="32"/>
      <c r="C100" s="140"/>
      <c r="D100" s="140"/>
      <c r="E100" s="22"/>
      <c r="F100" s="22"/>
      <c r="G100" s="22"/>
      <c r="H100" s="22"/>
      <c r="I100" s="22"/>
      <c r="J100" s="22"/>
      <c r="K100" s="30"/>
      <c r="L100" s="33"/>
      <c r="M100" s="30"/>
      <c r="N100" s="30"/>
      <c r="O100" s="30"/>
      <c r="P100" s="30"/>
      <c r="Q100" s="30"/>
      <c r="R100" s="33"/>
      <c r="S100" s="30"/>
      <c r="T100" s="30"/>
      <c r="U100" s="30"/>
      <c r="V100" s="30"/>
      <c r="W100" s="30"/>
      <c r="X100" s="33"/>
    </row>
    <row r="101" spans="1:24" ht="18" customHeight="1">
      <c r="A101" s="22"/>
      <c r="B101" s="32"/>
      <c r="C101" s="140"/>
      <c r="D101" s="140"/>
      <c r="E101" s="22"/>
      <c r="F101" s="22"/>
      <c r="G101" s="22"/>
      <c r="H101" s="22"/>
      <c r="I101" s="22"/>
      <c r="J101" s="22"/>
      <c r="K101" s="30"/>
      <c r="L101" s="33"/>
      <c r="M101" s="30"/>
      <c r="N101" s="30"/>
      <c r="O101" s="30"/>
      <c r="P101" s="30"/>
      <c r="Q101" s="30"/>
      <c r="R101" s="33"/>
      <c r="S101" s="30"/>
      <c r="T101" s="30"/>
      <c r="U101" s="30"/>
      <c r="V101" s="30"/>
      <c r="W101" s="30"/>
      <c r="X101" s="33"/>
    </row>
    <row r="102" spans="1:24" ht="18" customHeight="1">
      <c r="A102" s="22"/>
      <c r="B102" s="32"/>
      <c r="C102" s="140"/>
      <c r="D102" s="140"/>
      <c r="E102" s="22"/>
      <c r="F102" s="22"/>
      <c r="G102" s="22"/>
      <c r="H102" s="22"/>
      <c r="I102" s="22"/>
      <c r="J102" s="22"/>
      <c r="K102" s="30"/>
      <c r="L102" s="33"/>
      <c r="M102" s="30"/>
      <c r="N102" s="30"/>
      <c r="O102" s="30"/>
      <c r="P102" s="30"/>
      <c r="Q102" s="30"/>
      <c r="R102" s="33"/>
      <c r="S102" s="30"/>
      <c r="T102" s="30"/>
      <c r="U102" s="30"/>
      <c r="V102" s="30"/>
      <c r="W102" s="30"/>
      <c r="X102" s="33"/>
    </row>
    <row r="103" spans="1:24" ht="18" customHeight="1">
      <c r="A103" s="22"/>
      <c r="B103" s="32"/>
      <c r="C103" s="140"/>
      <c r="D103" s="140"/>
      <c r="E103" s="22"/>
      <c r="F103" s="22"/>
      <c r="G103" s="22"/>
      <c r="H103" s="22"/>
      <c r="I103" s="22"/>
      <c r="J103" s="22"/>
      <c r="K103" s="30"/>
      <c r="L103" s="33"/>
      <c r="M103" s="30"/>
      <c r="N103" s="30"/>
      <c r="O103" s="30"/>
      <c r="P103" s="30"/>
      <c r="Q103" s="30"/>
      <c r="R103" s="33"/>
      <c r="S103" s="30"/>
      <c r="T103" s="30"/>
      <c r="U103" s="30"/>
      <c r="V103" s="30"/>
      <c r="W103" s="30"/>
      <c r="X103" s="33"/>
    </row>
    <row r="104" spans="1:24" ht="18" customHeight="1">
      <c r="A104" s="22"/>
      <c r="B104" s="32"/>
      <c r="C104" s="140"/>
      <c r="D104" s="140"/>
      <c r="E104" s="22"/>
      <c r="F104" s="22"/>
      <c r="G104" s="22"/>
      <c r="H104" s="22"/>
      <c r="I104" s="22"/>
      <c r="J104" s="22"/>
      <c r="K104" s="30"/>
      <c r="L104" s="33"/>
      <c r="M104" s="30"/>
      <c r="N104" s="30"/>
      <c r="O104" s="30"/>
      <c r="P104" s="30"/>
      <c r="Q104" s="30"/>
      <c r="R104" s="33"/>
      <c r="S104" s="30"/>
      <c r="T104" s="30"/>
      <c r="U104" s="30"/>
      <c r="V104" s="30"/>
      <c r="W104" s="30"/>
      <c r="X104" s="33"/>
    </row>
    <row r="105" spans="1:24" ht="18" customHeight="1">
      <c r="A105" s="22"/>
      <c r="B105" s="32"/>
      <c r="C105" s="140"/>
      <c r="D105" s="140"/>
      <c r="E105" s="22"/>
      <c r="F105" s="22"/>
      <c r="G105" s="22"/>
      <c r="H105" s="22"/>
      <c r="I105" s="22"/>
      <c r="J105" s="22"/>
      <c r="K105" s="30"/>
      <c r="L105" s="33"/>
      <c r="M105" s="30"/>
      <c r="N105" s="30"/>
      <c r="O105" s="30"/>
      <c r="P105" s="30"/>
      <c r="Q105" s="30"/>
      <c r="R105" s="33"/>
      <c r="S105" s="30"/>
      <c r="T105" s="30"/>
      <c r="U105" s="30"/>
      <c r="V105" s="30"/>
      <c r="W105" s="30"/>
      <c r="X105" s="33"/>
    </row>
    <row r="106" spans="1:24" ht="18" customHeight="1">
      <c r="A106" s="22"/>
      <c r="B106" s="32"/>
      <c r="C106" s="140"/>
      <c r="D106" s="140"/>
      <c r="E106" s="22"/>
      <c r="F106" s="22"/>
      <c r="G106" s="22"/>
      <c r="H106" s="22"/>
      <c r="I106" s="22"/>
      <c r="J106" s="22"/>
      <c r="K106" s="30"/>
      <c r="L106" s="33"/>
      <c r="M106" s="30"/>
      <c r="N106" s="30"/>
      <c r="O106" s="30"/>
      <c r="P106" s="30"/>
      <c r="Q106" s="30"/>
      <c r="R106" s="33"/>
      <c r="S106" s="30"/>
      <c r="T106" s="30"/>
      <c r="U106" s="30"/>
      <c r="V106" s="30"/>
      <c r="W106" s="30"/>
      <c r="X106" s="33"/>
    </row>
    <row r="107" spans="1:24" ht="18" customHeight="1">
      <c r="A107" s="22"/>
      <c r="B107" s="32"/>
      <c r="C107" s="140"/>
      <c r="D107" s="140"/>
      <c r="E107" s="22"/>
      <c r="F107" s="22"/>
      <c r="G107" s="22"/>
      <c r="H107" s="22"/>
      <c r="I107" s="22"/>
      <c r="J107" s="22"/>
      <c r="K107" s="30"/>
      <c r="L107" s="33"/>
      <c r="M107" s="30"/>
      <c r="N107" s="30"/>
      <c r="O107" s="30"/>
      <c r="P107" s="30"/>
      <c r="Q107" s="30"/>
      <c r="R107" s="33"/>
      <c r="S107" s="30"/>
      <c r="T107" s="30"/>
      <c r="U107" s="30"/>
      <c r="V107" s="30"/>
      <c r="W107" s="30"/>
      <c r="X107" s="33"/>
    </row>
    <row r="108" spans="1:24" ht="18" customHeight="1">
      <c r="A108" s="22"/>
      <c r="B108" s="32"/>
      <c r="C108" s="140"/>
      <c r="D108" s="140"/>
      <c r="E108" s="22"/>
      <c r="F108" s="22"/>
      <c r="G108" s="22"/>
      <c r="H108" s="22"/>
      <c r="I108" s="22"/>
      <c r="J108" s="22"/>
      <c r="K108" s="30"/>
      <c r="L108" s="33"/>
      <c r="M108" s="30"/>
      <c r="N108" s="30"/>
      <c r="O108" s="30"/>
      <c r="P108" s="30"/>
      <c r="Q108" s="30"/>
      <c r="R108" s="33"/>
      <c r="S108" s="30"/>
      <c r="T108" s="30"/>
      <c r="U108" s="30"/>
      <c r="V108" s="30"/>
      <c r="W108" s="30"/>
      <c r="X108" s="33"/>
    </row>
    <row r="109" spans="1:24" ht="18" customHeight="1">
      <c r="A109" s="22"/>
      <c r="B109" s="32"/>
      <c r="C109" s="140"/>
      <c r="D109" s="140"/>
      <c r="E109" s="22"/>
      <c r="F109" s="22"/>
      <c r="G109" s="22"/>
      <c r="H109" s="22"/>
      <c r="I109" s="22"/>
      <c r="J109" s="22"/>
      <c r="K109" s="30"/>
      <c r="L109" s="33"/>
      <c r="M109" s="30"/>
      <c r="N109" s="30"/>
      <c r="O109" s="30"/>
      <c r="P109" s="30"/>
      <c r="Q109" s="30"/>
      <c r="R109" s="33"/>
      <c r="S109" s="30"/>
      <c r="T109" s="30"/>
      <c r="U109" s="30"/>
      <c r="V109" s="30"/>
      <c r="W109" s="30"/>
      <c r="X109" s="33"/>
    </row>
    <row r="110" spans="1:24" ht="18" customHeight="1">
      <c r="A110" s="22"/>
      <c r="B110" s="32"/>
      <c r="C110" s="140"/>
      <c r="D110" s="140"/>
      <c r="E110" s="22"/>
      <c r="F110" s="22"/>
      <c r="G110" s="22"/>
      <c r="H110" s="22"/>
      <c r="I110" s="22"/>
      <c r="J110" s="22"/>
      <c r="K110" s="30"/>
      <c r="L110" s="33"/>
      <c r="M110" s="30"/>
      <c r="N110" s="30"/>
      <c r="O110" s="30"/>
      <c r="P110" s="30"/>
      <c r="Q110" s="30"/>
      <c r="R110" s="33"/>
      <c r="S110" s="30"/>
      <c r="T110" s="30"/>
      <c r="U110" s="30"/>
      <c r="V110" s="30"/>
      <c r="W110" s="30"/>
      <c r="X110" s="33"/>
    </row>
    <row r="111" spans="1:24" ht="18" customHeight="1">
      <c r="A111" s="22"/>
      <c r="B111" s="32"/>
      <c r="C111" s="140"/>
      <c r="D111" s="140"/>
      <c r="E111" s="22"/>
      <c r="F111" s="22"/>
      <c r="G111" s="22"/>
      <c r="H111" s="22"/>
      <c r="I111" s="22"/>
      <c r="J111" s="22"/>
      <c r="K111" s="30"/>
      <c r="L111" s="33"/>
      <c r="M111" s="30"/>
      <c r="N111" s="30"/>
      <c r="O111" s="30"/>
      <c r="P111" s="30"/>
      <c r="Q111" s="30"/>
      <c r="R111" s="33"/>
      <c r="S111" s="30"/>
      <c r="T111" s="30"/>
      <c r="U111" s="30"/>
      <c r="V111" s="30"/>
      <c r="W111" s="30"/>
      <c r="X111" s="33"/>
    </row>
    <row r="112" spans="1:24" ht="18" customHeight="1">
      <c r="A112" s="22"/>
      <c r="B112" s="32"/>
      <c r="C112" s="140"/>
      <c r="D112" s="140"/>
      <c r="E112" s="22"/>
      <c r="F112" s="22"/>
      <c r="G112" s="22"/>
      <c r="H112" s="22"/>
      <c r="I112" s="22"/>
      <c r="J112" s="22"/>
      <c r="K112" s="30"/>
      <c r="L112" s="33"/>
      <c r="M112" s="30"/>
      <c r="N112" s="30"/>
      <c r="O112" s="30"/>
      <c r="P112" s="30"/>
      <c r="Q112" s="30"/>
      <c r="R112" s="33"/>
      <c r="S112" s="30"/>
      <c r="T112" s="30"/>
      <c r="U112" s="30"/>
      <c r="V112" s="30"/>
      <c r="W112" s="30"/>
      <c r="X112" s="33"/>
    </row>
    <row r="113" spans="1:24" ht="18" customHeight="1">
      <c r="A113" s="22"/>
      <c r="B113" s="32"/>
      <c r="C113" s="140"/>
      <c r="D113" s="140"/>
      <c r="E113" s="22"/>
      <c r="F113" s="22"/>
      <c r="G113" s="22"/>
      <c r="H113" s="22"/>
      <c r="I113" s="22"/>
      <c r="J113" s="22"/>
      <c r="K113" s="30"/>
      <c r="L113" s="33"/>
      <c r="M113" s="30"/>
      <c r="N113" s="30"/>
      <c r="O113" s="30"/>
      <c r="P113" s="30"/>
      <c r="Q113" s="30"/>
      <c r="R113" s="33"/>
      <c r="S113" s="30"/>
      <c r="T113" s="30"/>
      <c r="U113" s="30"/>
      <c r="V113" s="30"/>
      <c r="W113" s="30"/>
      <c r="X113" s="33"/>
    </row>
    <row r="114" spans="1:24" ht="18" customHeight="1">
      <c r="A114" s="22"/>
      <c r="B114" s="32"/>
      <c r="C114" s="140"/>
      <c r="D114" s="140"/>
      <c r="E114" s="22"/>
      <c r="F114" s="22"/>
      <c r="G114" s="22"/>
      <c r="H114" s="22"/>
      <c r="I114" s="22"/>
      <c r="J114" s="22"/>
      <c r="K114" s="30"/>
      <c r="L114" s="33"/>
      <c r="M114" s="30"/>
      <c r="N114" s="30"/>
      <c r="O114" s="30"/>
      <c r="P114" s="30"/>
      <c r="Q114" s="30"/>
      <c r="R114" s="33"/>
      <c r="S114" s="30"/>
      <c r="T114" s="30"/>
      <c r="U114" s="30"/>
      <c r="V114" s="30"/>
      <c r="W114" s="30"/>
      <c r="X114" s="33"/>
    </row>
    <row r="115" spans="1:24" ht="18" customHeight="1">
      <c r="A115" s="22"/>
      <c r="B115" s="32"/>
      <c r="C115" s="140"/>
      <c r="D115" s="140"/>
      <c r="E115" s="22"/>
      <c r="F115" s="22"/>
      <c r="G115" s="22"/>
      <c r="H115" s="22"/>
      <c r="I115" s="22"/>
      <c r="J115" s="22"/>
      <c r="K115" s="30"/>
      <c r="L115" s="33"/>
      <c r="M115" s="30"/>
      <c r="N115" s="30"/>
      <c r="O115" s="30"/>
      <c r="P115" s="30"/>
      <c r="Q115" s="30"/>
      <c r="R115" s="33"/>
      <c r="S115" s="30"/>
      <c r="T115" s="30"/>
      <c r="U115" s="30"/>
      <c r="V115" s="30"/>
      <c r="W115" s="30"/>
      <c r="X115" s="33"/>
    </row>
    <row r="116" spans="1:24" ht="18" customHeight="1">
      <c r="A116" s="22"/>
      <c r="B116" s="32"/>
      <c r="C116" s="140"/>
      <c r="D116" s="140"/>
      <c r="E116" s="22"/>
      <c r="F116" s="22"/>
      <c r="G116" s="22"/>
      <c r="H116" s="22"/>
      <c r="I116" s="22"/>
      <c r="J116" s="22"/>
      <c r="K116" s="30"/>
      <c r="L116" s="33"/>
      <c r="M116" s="30"/>
      <c r="N116" s="30"/>
      <c r="O116" s="30"/>
      <c r="P116" s="30"/>
      <c r="Q116" s="30"/>
      <c r="R116" s="33"/>
      <c r="S116" s="30"/>
      <c r="T116" s="30"/>
      <c r="U116" s="30"/>
      <c r="V116" s="30"/>
      <c r="W116" s="30"/>
      <c r="X116" s="33"/>
    </row>
    <row r="117" spans="1:24" ht="18" customHeight="1">
      <c r="A117" s="22"/>
      <c r="B117" s="32"/>
      <c r="C117" s="140"/>
      <c r="D117" s="140"/>
      <c r="E117" s="22"/>
      <c r="F117" s="22"/>
      <c r="G117" s="22"/>
      <c r="H117" s="22"/>
      <c r="I117" s="22"/>
      <c r="J117" s="22"/>
      <c r="K117" s="30"/>
      <c r="L117" s="33"/>
      <c r="M117" s="30"/>
      <c r="N117" s="30"/>
      <c r="O117" s="30"/>
      <c r="P117" s="30"/>
      <c r="Q117" s="30"/>
      <c r="R117" s="33"/>
      <c r="S117" s="30"/>
      <c r="T117" s="30"/>
      <c r="U117" s="30"/>
      <c r="V117" s="30"/>
      <c r="W117" s="30"/>
      <c r="X117" s="33"/>
    </row>
    <row r="118" spans="1:24" ht="18" customHeight="1">
      <c r="A118" s="22"/>
      <c r="B118" s="32"/>
      <c r="C118" s="140"/>
      <c r="D118" s="140"/>
      <c r="E118" s="22"/>
      <c r="F118" s="22"/>
      <c r="G118" s="22"/>
      <c r="H118" s="22"/>
      <c r="I118" s="22"/>
      <c r="J118" s="22"/>
      <c r="K118" s="30"/>
      <c r="L118" s="33"/>
      <c r="M118" s="30"/>
      <c r="N118" s="30"/>
      <c r="O118" s="30"/>
      <c r="P118" s="30"/>
      <c r="Q118" s="30"/>
      <c r="R118" s="33"/>
      <c r="S118" s="30"/>
      <c r="T118" s="30"/>
      <c r="U118" s="30"/>
      <c r="V118" s="30"/>
      <c r="W118" s="30"/>
      <c r="X118" s="33"/>
    </row>
    <row r="119" spans="1:24" ht="18" customHeight="1">
      <c r="A119" s="22"/>
      <c r="B119" s="32"/>
      <c r="C119" s="140"/>
      <c r="D119" s="140"/>
      <c r="E119" s="22"/>
      <c r="F119" s="22"/>
      <c r="G119" s="22"/>
      <c r="H119" s="22"/>
      <c r="I119" s="22"/>
      <c r="J119" s="22"/>
      <c r="K119" s="30"/>
      <c r="L119" s="33"/>
      <c r="M119" s="30"/>
      <c r="N119" s="30"/>
      <c r="O119" s="30"/>
      <c r="P119" s="30"/>
      <c r="Q119" s="30"/>
      <c r="R119" s="33"/>
      <c r="S119" s="30"/>
      <c r="T119" s="30"/>
      <c r="U119" s="30"/>
      <c r="V119" s="30"/>
      <c r="W119" s="30"/>
      <c r="X119" s="33"/>
    </row>
    <row r="120" spans="1:24" ht="18" customHeight="1">
      <c r="A120" s="22"/>
      <c r="B120" s="32"/>
      <c r="C120" s="140"/>
      <c r="D120" s="140"/>
      <c r="E120" s="22"/>
      <c r="F120" s="22"/>
      <c r="G120" s="22"/>
      <c r="H120" s="22"/>
      <c r="I120" s="22"/>
      <c r="J120" s="22"/>
      <c r="K120" s="30"/>
      <c r="L120" s="33"/>
      <c r="M120" s="30"/>
      <c r="N120" s="30"/>
      <c r="O120" s="30"/>
      <c r="P120" s="30"/>
      <c r="Q120" s="30"/>
      <c r="R120" s="33"/>
      <c r="S120" s="30"/>
      <c r="T120" s="30"/>
      <c r="U120" s="30"/>
      <c r="V120" s="30"/>
      <c r="W120" s="30"/>
      <c r="X120" s="33"/>
    </row>
    <row r="121" spans="1:24" ht="18" customHeight="1">
      <c r="A121" s="22"/>
      <c r="B121" s="32"/>
      <c r="C121" s="140"/>
      <c r="D121" s="140"/>
      <c r="E121" s="22"/>
      <c r="F121" s="22"/>
      <c r="G121" s="22"/>
      <c r="H121" s="22"/>
      <c r="I121" s="22"/>
      <c r="J121" s="22"/>
      <c r="K121" s="30"/>
      <c r="L121" s="33"/>
      <c r="M121" s="30"/>
      <c r="N121" s="30"/>
      <c r="O121" s="30"/>
      <c r="P121" s="30"/>
      <c r="Q121" s="30"/>
      <c r="R121" s="33"/>
      <c r="S121" s="30"/>
      <c r="T121" s="30"/>
      <c r="U121" s="30"/>
      <c r="V121" s="30"/>
      <c r="W121" s="30"/>
      <c r="X121" s="33"/>
    </row>
    <row r="122" spans="1:24" ht="18" customHeight="1">
      <c r="A122" s="22"/>
      <c r="B122" s="32"/>
      <c r="C122" s="140"/>
      <c r="D122" s="140"/>
      <c r="E122" s="22"/>
      <c r="F122" s="22"/>
      <c r="G122" s="22"/>
      <c r="H122" s="22"/>
      <c r="I122" s="22"/>
      <c r="J122" s="22"/>
      <c r="K122" s="30"/>
      <c r="L122" s="33"/>
      <c r="M122" s="30"/>
      <c r="N122" s="30"/>
      <c r="O122" s="30"/>
      <c r="P122" s="30"/>
      <c r="Q122" s="30"/>
      <c r="R122" s="33"/>
      <c r="S122" s="30"/>
      <c r="T122" s="30"/>
      <c r="U122" s="30"/>
      <c r="V122" s="30"/>
      <c r="W122" s="30"/>
      <c r="X122" s="33"/>
    </row>
    <row r="123" spans="1:24" ht="18" customHeight="1">
      <c r="A123" s="22"/>
      <c r="B123" s="32"/>
      <c r="C123" s="140"/>
      <c r="D123" s="140"/>
      <c r="E123" s="22"/>
      <c r="F123" s="22"/>
      <c r="G123" s="22"/>
      <c r="H123" s="22"/>
      <c r="I123" s="22"/>
      <c r="J123" s="22"/>
      <c r="K123" s="30"/>
      <c r="L123" s="33"/>
      <c r="M123" s="30"/>
      <c r="N123" s="30"/>
      <c r="O123" s="30"/>
      <c r="P123" s="30"/>
      <c r="Q123" s="30"/>
      <c r="R123" s="33"/>
      <c r="S123" s="30"/>
      <c r="T123" s="30"/>
      <c r="U123" s="30"/>
      <c r="V123" s="30"/>
      <c r="W123" s="30"/>
      <c r="X123" s="33"/>
    </row>
    <row r="124" spans="1:24" ht="18" customHeight="1">
      <c r="A124" s="22"/>
      <c r="B124" s="32"/>
      <c r="C124" s="140"/>
      <c r="D124" s="140"/>
      <c r="E124" s="22"/>
      <c r="F124" s="22"/>
      <c r="G124" s="22"/>
      <c r="H124" s="22"/>
      <c r="I124" s="22"/>
      <c r="J124" s="22"/>
      <c r="K124" s="30"/>
      <c r="L124" s="33"/>
      <c r="M124" s="30"/>
      <c r="N124" s="30"/>
      <c r="O124" s="30"/>
      <c r="P124" s="30"/>
      <c r="Q124" s="30"/>
      <c r="R124" s="33"/>
      <c r="S124" s="30"/>
      <c r="T124" s="30"/>
      <c r="U124" s="30"/>
      <c r="V124" s="30"/>
      <c r="W124" s="30"/>
      <c r="X124" s="33"/>
    </row>
    <row r="125" spans="1:24" ht="18" customHeight="1">
      <c r="A125" s="22"/>
      <c r="B125" s="32"/>
      <c r="C125" s="140"/>
      <c r="D125" s="140"/>
      <c r="E125" s="22"/>
      <c r="F125" s="22"/>
      <c r="G125" s="22"/>
      <c r="H125" s="22"/>
      <c r="I125" s="22"/>
      <c r="J125" s="22"/>
      <c r="K125" s="30"/>
      <c r="L125" s="33"/>
      <c r="M125" s="30"/>
      <c r="N125" s="30"/>
      <c r="O125" s="30"/>
      <c r="P125" s="30"/>
      <c r="Q125" s="30"/>
      <c r="R125" s="33"/>
      <c r="S125" s="30"/>
      <c r="T125" s="30"/>
      <c r="U125" s="30"/>
      <c r="V125" s="30"/>
      <c r="W125" s="30"/>
      <c r="X125" s="33"/>
    </row>
    <row r="126" spans="1:24" ht="18" customHeight="1">
      <c r="A126" s="22"/>
      <c r="B126" s="32"/>
      <c r="C126" s="140"/>
      <c r="D126" s="140"/>
      <c r="E126" s="22"/>
      <c r="F126" s="22"/>
      <c r="G126" s="22"/>
      <c r="H126" s="22"/>
      <c r="I126" s="22"/>
      <c r="J126" s="22"/>
      <c r="K126" s="30"/>
      <c r="L126" s="33"/>
      <c r="M126" s="30"/>
      <c r="N126" s="30"/>
      <c r="O126" s="30"/>
      <c r="P126" s="30"/>
      <c r="Q126" s="30"/>
      <c r="R126" s="33"/>
      <c r="S126" s="30"/>
      <c r="T126" s="30"/>
      <c r="U126" s="30"/>
      <c r="V126" s="30"/>
      <c r="W126" s="30"/>
      <c r="X126" s="33"/>
    </row>
    <row r="127" spans="1:24" ht="18" customHeight="1">
      <c r="A127" s="22"/>
      <c r="B127" s="32"/>
      <c r="C127" s="140"/>
      <c r="D127" s="140"/>
      <c r="E127" s="22"/>
      <c r="F127" s="22"/>
      <c r="G127" s="22"/>
      <c r="H127" s="22"/>
      <c r="I127" s="22"/>
      <c r="J127" s="22"/>
      <c r="K127" s="30"/>
      <c r="L127" s="33"/>
      <c r="M127" s="30"/>
      <c r="N127" s="30"/>
      <c r="O127" s="30"/>
      <c r="P127" s="30"/>
      <c r="Q127" s="30"/>
      <c r="R127" s="33"/>
      <c r="S127" s="30"/>
      <c r="T127" s="30"/>
      <c r="U127" s="30"/>
      <c r="V127" s="30"/>
      <c r="W127" s="30"/>
      <c r="X127" s="33"/>
    </row>
    <row r="128" spans="1:24" ht="18" customHeight="1">
      <c r="A128" s="22"/>
      <c r="B128" s="32"/>
      <c r="C128" s="140"/>
      <c r="D128" s="140"/>
      <c r="E128" s="22"/>
      <c r="F128" s="22"/>
      <c r="G128" s="22"/>
      <c r="H128" s="22"/>
      <c r="I128" s="22"/>
      <c r="J128" s="22"/>
      <c r="K128" s="30"/>
      <c r="L128" s="33"/>
      <c r="M128" s="30"/>
      <c r="N128" s="30"/>
      <c r="O128" s="30"/>
      <c r="P128" s="30"/>
      <c r="Q128" s="30"/>
      <c r="R128" s="33"/>
      <c r="S128" s="30"/>
      <c r="T128" s="30"/>
      <c r="U128" s="30"/>
      <c r="V128" s="30"/>
      <c r="W128" s="30"/>
      <c r="X128" s="33"/>
    </row>
    <row r="129" spans="1:24" ht="18" customHeight="1">
      <c r="A129" s="22"/>
      <c r="B129" s="32"/>
      <c r="C129" s="140"/>
      <c r="D129" s="140"/>
      <c r="E129" s="22"/>
      <c r="F129" s="22"/>
      <c r="G129" s="22"/>
      <c r="H129" s="22"/>
      <c r="I129" s="22"/>
      <c r="J129" s="22"/>
      <c r="K129" s="30"/>
      <c r="L129" s="33"/>
      <c r="M129" s="30"/>
      <c r="N129" s="30"/>
      <c r="O129" s="30"/>
      <c r="P129" s="30"/>
      <c r="Q129" s="30"/>
      <c r="R129" s="33"/>
      <c r="S129" s="30"/>
      <c r="T129" s="30"/>
      <c r="U129" s="30"/>
      <c r="V129" s="30"/>
      <c r="W129" s="30"/>
      <c r="X129" s="33"/>
    </row>
    <row r="130" spans="1:24" ht="18" customHeight="1">
      <c r="A130" s="22"/>
      <c r="B130" s="32"/>
      <c r="C130" s="140"/>
      <c r="D130" s="140"/>
      <c r="E130" s="22"/>
      <c r="F130" s="22"/>
      <c r="G130" s="22"/>
      <c r="H130" s="22"/>
      <c r="I130" s="22"/>
      <c r="J130" s="22"/>
      <c r="K130" s="30"/>
      <c r="L130" s="33"/>
      <c r="M130" s="30"/>
      <c r="N130" s="30"/>
      <c r="O130" s="30"/>
      <c r="P130" s="30"/>
      <c r="Q130" s="30"/>
      <c r="R130" s="33"/>
      <c r="S130" s="30"/>
      <c r="T130" s="30"/>
      <c r="U130" s="30"/>
      <c r="V130" s="30"/>
      <c r="W130" s="30"/>
      <c r="X130" s="33"/>
    </row>
    <row r="131" spans="1:24" ht="18" customHeight="1">
      <c r="A131" s="22"/>
      <c r="B131" s="32"/>
      <c r="C131" s="140"/>
      <c r="D131" s="140"/>
      <c r="E131" s="22"/>
      <c r="F131" s="22"/>
      <c r="G131" s="22"/>
      <c r="H131" s="22"/>
      <c r="I131" s="22"/>
      <c r="J131" s="22"/>
      <c r="K131" s="30"/>
      <c r="L131" s="33"/>
      <c r="M131" s="30"/>
      <c r="N131" s="30"/>
      <c r="O131" s="30"/>
      <c r="P131" s="30"/>
      <c r="Q131" s="30"/>
      <c r="R131" s="33"/>
      <c r="S131" s="30"/>
      <c r="T131" s="30"/>
      <c r="U131" s="30"/>
      <c r="V131" s="30"/>
      <c r="W131" s="30"/>
      <c r="X131" s="33"/>
    </row>
    <row r="132" spans="1:24" ht="18" customHeight="1">
      <c r="A132" s="22"/>
      <c r="B132" s="32"/>
      <c r="C132" s="140"/>
      <c r="D132" s="140"/>
      <c r="E132" s="22"/>
      <c r="F132" s="22"/>
      <c r="G132" s="22"/>
      <c r="H132" s="22"/>
      <c r="I132" s="22"/>
      <c r="J132" s="22"/>
      <c r="K132" s="30"/>
      <c r="L132" s="33"/>
      <c r="M132" s="30"/>
      <c r="N132" s="30"/>
      <c r="O132" s="30"/>
      <c r="P132" s="30"/>
      <c r="Q132" s="30"/>
      <c r="R132" s="33"/>
      <c r="S132" s="30"/>
      <c r="T132" s="30"/>
      <c r="U132" s="30"/>
      <c r="V132" s="30"/>
      <c r="W132" s="30"/>
      <c r="X132" s="33"/>
    </row>
    <row r="133" spans="1:24" ht="18" customHeight="1">
      <c r="A133" s="22"/>
      <c r="B133" s="32"/>
      <c r="C133" s="140"/>
      <c r="D133" s="140"/>
      <c r="E133" s="22"/>
      <c r="F133" s="22"/>
      <c r="G133" s="22"/>
      <c r="H133" s="22"/>
      <c r="I133" s="22"/>
      <c r="J133" s="22"/>
      <c r="K133" s="30"/>
      <c r="L133" s="33"/>
      <c r="M133" s="30"/>
      <c r="N133" s="30"/>
      <c r="O133" s="30"/>
      <c r="P133" s="30"/>
      <c r="Q133" s="30"/>
      <c r="R133" s="33"/>
      <c r="S133" s="30"/>
      <c r="T133" s="30"/>
      <c r="U133" s="30"/>
      <c r="V133" s="30"/>
      <c r="W133" s="30"/>
      <c r="X133" s="33"/>
    </row>
    <row r="134" spans="1:24" ht="18" customHeight="1">
      <c r="A134" s="22"/>
      <c r="B134" s="32"/>
      <c r="C134" s="140"/>
      <c r="D134" s="140"/>
      <c r="E134" s="22"/>
      <c r="F134" s="22"/>
      <c r="G134" s="22"/>
      <c r="H134" s="22"/>
      <c r="I134" s="22"/>
      <c r="J134" s="22"/>
      <c r="K134" s="30"/>
      <c r="L134" s="33"/>
      <c r="M134" s="30"/>
      <c r="N134" s="30"/>
      <c r="O134" s="30"/>
      <c r="P134" s="30"/>
      <c r="Q134" s="30"/>
      <c r="R134" s="33"/>
      <c r="S134" s="30"/>
      <c r="T134" s="30"/>
      <c r="U134" s="30"/>
      <c r="V134" s="30"/>
      <c r="W134" s="30"/>
      <c r="X134" s="33"/>
    </row>
    <row r="135" spans="1:24" ht="18" customHeight="1">
      <c r="A135" s="22"/>
      <c r="B135" s="32"/>
      <c r="C135" s="140"/>
      <c r="D135" s="140"/>
      <c r="E135" s="22"/>
      <c r="F135" s="22"/>
      <c r="G135" s="22"/>
      <c r="H135" s="22"/>
      <c r="I135" s="22"/>
      <c r="J135" s="22"/>
      <c r="K135" s="30"/>
      <c r="L135" s="33"/>
      <c r="M135" s="30"/>
      <c r="N135" s="30"/>
      <c r="O135" s="30"/>
      <c r="P135" s="30"/>
      <c r="Q135" s="30"/>
      <c r="R135" s="33"/>
      <c r="S135" s="30"/>
      <c r="T135" s="30"/>
      <c r="U135" s="30"/>
      <c r="V135" s="30"/>
      <c r="W135" s="30"/>
      <c r="X135" s="33"/>
    </row>
    <row r="136" spans="1:24" ht="18" customHeight="1">
      <c r="A136" s="22"/>
      <c r="B136" s="32"/>
      <c r="C136" s="140"/>
      <c r="D136" s="140"/>
      <c r="E136" s="22"/>
      <c r="F136" s="22"/>
      <c r="G136" s="22"/>
      <c r="H136" s="22"/>
      <c r="I136" s="22"/>
      <c r="J136" s="22"/>
      <c r="K136" s="30"/>
      <c r="L136" s="33"/>
      <c r="M136" s="30"/>
      <c r="N136" s="30"/>
      <c r="O136" s="30"/>
      <c r="P136" s="30"/>
      <c r="Q136" s="30"/>
      <c r="R136" s="33"/>
      <c r="S136" s="30"/>
      <c r="T136" s="30"/>
      <c r="U136" s="30"/>
      <c r="V136" s="30"/>
      <c r="W136" s="30"/>
      <c r="X136" s="33"/>
    </row>
    <row r="137" spans="1:24" ht="18" customHeight="1">
      <c r="A137" s="22"/>
      <c r="B137" s="32"/>
      <c r="C137" s="140"/>
      <c r="D137" s="140"/>
      <c r="E137" s="22"/>
      <c r="F137" s="22"/>
      <c r="G137" s="22"/>
      <c r="H137" s="22"/>
      <c r="I137" s="22"/>
      <c r="J137" s="22"/>
      <c r="K137" s="30"/>
      <c r="L137" s="33"/>
      <c r="M137" s="30"/>
      <c r="N137" s="30"/>
      <c r="O137" s="30"/>
      <c r="P137" s="30"/>
      <c r="Q137" s="30"/>
      <c r="R137" s="33"/>
      <c r="S137" s="30"/>
      <c r="T137" s="30"/>
      <c r="U137" s="30"/>
      <c r="V137" s="30"/>
      <c r="W137" s="30"/>
      <c r="X137" s="33"/>
    </row>
    <row r="138" spans="1:24" ht="18" customHeight="1">
      <c r="A138" s="22"/>
      <c r="B138" s="32"/>
      <c r="C138" s="140"/>
      <c r="D138" s="140"/>
      <c r="E138" s="22"/>
      <c r="F138" s="22"/>
      <c r="G138" s="22"/>
      <c r="H138" s="22"/>
      <c r="I138" s="22"/>
      <c r="J138" s="22"/>
      <c r="K138" s="30"/>
      <c r="L138" s="33"/>
      <c r="M138" s="30"/>
      <c r="N138" s="30"/>
      <c r="O138" s="30"/>
      <c r="P138" s="30"/>
      <c r="Q138" s="30"/>
      <c r="R138" s="33"/>
      <c r="S138" s="30"/>
      <c r="T138" s="30"/>
      <c r="U138" s="30"/>
      <c r="V138" s="30"/>
      <c r="W138" s="30"/>
      <c r="X138" s="33"/>
    </row>
    <row r="139" spans="1:24" ht="18" customHeight="1">
      <c r="A139" s="22"/>
      <c r="B139" s="32"/>
      <c r="C139" s="140"/>
      <c r="D139" s="140"/>
      <c r="E139" s="22"/>
      <c r="F139" s="22"/>
      <c r="G139" s="22"/>
      <c r="H139" s="22"/>
      <c r="I139" s="22"/>
      <c r="J139" s="22"/>
      <c r="K139" s="30"/>
      <c r="L139" s="33"/>
      <c r="M139" s="30"/>
      <c r="N139" s="30"/>
      <c r="O139" s="30"/>
      <c r="P139" s="30"/>
      <c r="Q139" s="30"/>
      <c r="R139" s="33"/>
      <c r="S139" s="30"/>
      <c r="T139" s="30"/>
      <c r="U139" s="30"/>
      <c r="V139" s="30"/>
      <c r="W139" s="30"/>
      <c r="X139" s="33"/>
    </row>
    <row r="140" spans="1:24" ht="18" customHeight="1">
      <c r="A140" s="22"/>
      <c r="B140" s="32"/>
      <c r="C140" s="140"/>
      <c r="D140" s="140"/>
      <c r="E140" s="22"/>
      <c r="F140" s="22"/>
      <c r="G140" s="22"/>
      <c r="H140" s="22"/>
      <c r="I140" s="22"/>
      <c r="J140" s="22"/>
      <c r="K140" s="30"/>
      <c r="L140" s="33"/>
      <c r="M140" s="30"/>
      <c r="N140" s="30"/>
      <c r="O140" s="30"/>
      <c r="P140" s="30"/>
      <c r="Q140" s="30"/>
      <c r="R140" s="33"/>
      <c r="S140" s="30"/>
      <c r="T140" s="30"/>
      <c r="U140" s="30"/>
      <c r="V140" s="30"/>
      <c r="W140" s="30"/>
      <c r="X140" s="33"/>
    </row>
    <row r="141" spans="1:24" ht="18" customHeight="1">
      <c r="A141" s="22"/>
      <c r="B141" s="32"/>
      <c r="C141" s="140"/>
      <c r="D141" s="140"/>
      <c r="E141" s="22"/>
      <c r="F141" s="22"/>
      <c r="G141" s="22"/>
      <c r="H141" s="22"/>
      <c r="I141" s="22"/>
      <c r="J141" s="22"/>
      <c r="K141" s="30"/>
      <c r="L141" s="33"/>
      <c r="M141" s="30"/>
      <c r="N141" s="30"/>
      <c r="O141" s="30"/>
      <c r="P141" s="30"/>
      <c r="Q141" s="30"/>
      <c r="R141" s="33"/>
      <c r="S141" s="30"/>
      <c r="T141" s="30"/>
      <c r="U141" s="30"/>
      <c r="V141" s="30"/>
      <c r="W141" s="30"/>
      <c r="X141" s="33"/>
    </row>
    <row r="142" spans="1:24" ht="18" customHeight="1">
      <c r="A142" s="22"/>
      <c r="B142" s="32"/>
      <c r="C142" s="140"/>
      <c r="D142" s="140"/>
      <c r="E142" s="22"/>
      <c r="F142" s="22"/>
      <c r="G142" s="22"/>
      <c r="H142" s="22"/>
      <c r="I142" s="22"/>
      <c r="J142" s="22"/>
      <c r="K142" s="30"/>
      <c r="L142" s="33"/>
      <c r="M142" s="30"/>
      <c r="N142" s="30"/>
      <c r="O142" s="30"/>
      <c r="P142" s="30"/>
      <c r="Q142" s="30"/>
      <c r="R142" s="33"/>
      <c r="S142" s="30"/>
      <c r="T142" s="30"/>
      <c r="U142" s="30"/>
      <c r="V142" s="30"/>
      <c r="W142" s="30"/>
      <c r="X142" s="33"/>
    </row>
    <row r="143" spans="1:24" ht="18" customHeight="1">
      <c r="A143" s="22"/>
      <c r="B143" s="32"/>
      <c r="C143" s="140"/>
      <c r="D143" s="140"/>
      <c r="E143" s="22"/>
      <c r="F143" s="22"/>
      <c r="G143" s="22"/>
      <c r="H143" s="22"/>
      <c r="I143" s="22"/>
      <c r="J143" s="22"/>
      <c r="K143" s="30"/>
      <c r="L143" s="33"/>
      <c r="M143" s="30"/>
      <c r="N143" s="30"/>
      <c r="O143" s="30"/>
      <c r="P143" s="30"/>
      <c r="Q143" s="30"/>
      <c r="R143" s="33"/>
      <c r="S143" s="30"/>
      <c r="T143" s="30"/>
      <c r="U143" s="30"/>
      <c r="V143" s="30"/>
      <c r="W143" s="30"/>
      <c r="X143" s="33"/>
    </row>
    <row r="144" spans="1:24" ht="18" customHeight="1">
      <c r="A144" s="22"/>
      <c r="B144" s="32"/>
      <c r="C144" s="140"/>
      <c r="D144" s="140"/>
      <c r="E144" s="22"/>
      <c r="F144" s="22"/>
      <c r="G144" s="22"/>
      <c r="H144" s="22"/>
      <c r="I144" s="22"/>
      <c r="J144" s="22"/>
      <c r="K144" s="30"/>
      <c r="L144" s="33"/>
      <c r="M144" s="30"/>
      <c r="N144" s="30"/>
      <c r="O144" s="30"/>
      <c r="P144" s="30"/>
      <c r="Q144" s="30"/>
      <c r="R144" s="33"/>
      <c r="S144" s="30"/>
      <c r="T144" s="30"/>
      <c r="U144" s="30"/>
      <c r="V144" s="30"/>
      <c r="W144" s="30"/>
      <c r="X144" s="33"/>
    </row>
    <row r="145" spans="1:24" ht="18" customHeight="1">
      <c r="A145" s="22"/>
      <c r="B145" s="32"/>
      <c r="C145" s="140"/>
      <c r="D145" s="140"/>
      <c r="E145" s="22"/>
      <c r="F145" s="22"/>
      <c r="G145" s="22"/>
      <c r="H145" s="22"/>
      <c r="I145" s="22"/>
      <c r="J145" s="22"/>
      <c r="K145" s="30"/>
      <c r="L145" s="33"/>
      <c r="M145" s="30"/>
      <c r="N145" s="30"/>
      <c r="O145" s="30"/>
      <c r="P145" s="30"/>
      <c r="Q145" s="30"/>
      <c r="R145" s="33"/>
      <c r="S145" s="30"/>
      <c r="T145" s="30"/>
      <c r="U145" s="30"/>
      <c r="V145" s="30"/>
      <c r="W145" s="30"/>
      <c r="X145" s="33"/>
    </row>
    <row r="146" spans="1:24" ht="18" customHeight="1">
      <c r="A146" s="22"/>
      <c r="B146" s="32"/>
      <c r="C146" s="140"/>
      <c r="D146" s="140"/>
      <c r="E146" s="22"/>
      <c r="F146" s="22"/>
      <c r="G146" s="22"/>
      <c r="H146" s="22"/>
      <c r="I146" s="22"/>
      <c r="J146" s="22"/>
      <c r="K146" s="30"/>
      <c r="L146" s="33"/>
      <c r="M146" s="30"/>
      <c r="N146" s="30"/>
      <c r="O146" s="30"/>
      <c r="P146" s="30"/>
      <c r="Q146" s="30"/>
      <c r="R146" s="33"/>
      <c r="S146" s="30"/>
      <c r="T146" s="30"/>
      <c r="U146" s="30"/>
      <c r="V146" s="30"/>
      <c r="W146" s="30"/>
      <c r="X146" s="33"/>
    </row>
    <row r="147" spans="1:24" ht="18" customHeight="1">
      <c r="A147" s="22"/>
      <c r="B147" s="32"/>
      <c r="C147" s="140"/>
      <c r="D147" s="140"/>
      <c r="E147" s="22"/>
      <c r="F147" s="22"/>
      <c r="G147" s="22"/>
      <c r="H147" s="22"/>
      <c r="I147" s="22"/>
      <c r="J147" s="22"/>
      <c r="K147" s="30"/>
      <c r="L147" s="33"/>
      <c r="M147" s="30"/>
      <c r="N147" s="30"/>
      <c r="O147" s="30"/>
      <c r="P147" s="30"/>
      <c r="Q147" s="30"/>
      <c r="R147" s="33"/>
      <c r="S147" s="30"/>
      <c r="T147" s="30"/>
      <c r="U147" s="30"/>
      <c r="V147" s="30"/>
      <c r="W147" s="30"/>
      <c r="X147" s="33"/>
    </row>
    <row r="148" spans="1:24" ht="18" customHeight="1">
      <c r="A148" s="22"/>
      <c r="B148" s="32"/>
      <c r="C148" s="140"/>
      <c r="D148" s="140"/>
      <c r="E148" s="22"/>
      <c r="F148" s="22"/>
      <c r="G148" s="22"/>
      <c r="H148" s="22"/>
      <c r="I148" s="22"/>
      <c r="J148" s="22"/>
      <c r="K148" s="30"/>
      <c r="L148" s="33"/>
      <c r="M148" s="30"/>
      <c r="N148" s="30"/>
      <c r="O148" s="30"/>
      <c r="P148" s="30"/>
      <c r="Q148" s="30"/>
      <c r="R148" s="33"/>
      <c r="S148" s="30"/>
      <c r="T148" s="30"/>
      <c r="U148" s="30"/>
      <c r="V148" s="30"/>
      <c r="W148" s="30"/>
      <c r="X148" s="33"/>
    </row>
    <row r="149" spans="1:24" ht="18" customHeight="1">
      <c r="A149" s="22"/>
      <c r="B149" s="32"/>
      <c r="C149" s="140"/>
      <c r="D149" s="140"/>
      <c r="E149" s="22"/>
      <c r="F149" s="22"/>
      <c r="G149" s="22"/>
      <c r="H149" s="22"/>
      <c r="I149" s="22"/>
      <c r="J149" s="22"/>
      <c r="K149" s="30"/>
      <c r="L149" s="33"/>
      <c r="M149" s="30"/>
      <c r="N149" s="30"/>
      <c r="O149" s="30"/>
      <c r="P149" s="30"/>
      <c r="Q149" s="30"/>
      <c r="R149" s="33"/>
      <c r="S149" s="30"/>
      <c r="T149" s="30"/>
      <c r="U149" s="30"/>
      <c r="V149" s="30"/>
      <c r="W149" s="30"/>
      <c r="X149" s="33"/>
    </row>
    <row r="150" spans="1:24" ht="18" customHeight="1">
      <c r="A150" s="22"/>
      <c r="B150" s="32"/>
      <c r="C150" s="140"/>
      <c r="D150" s="140"/>
      <c r="E150" s="22"/>
      <c r="F150" s="22"/>
      <c r="G150" s="22"/>
      <c r="H150" s="22"/>
      <c r="I150" s="22"/>
      <c r="J150" s="22"/>
      <c r="K150" s="30"/>
      <c r="L150" s="33"/>
      <c r="M150" s="30"/>
      <c r="N150" s="30"/>
      <c r="O150" s="30"/>
      <c r="P150" s="30"/>
      <c r="Q150" s="30"/>
      <c r="R150" s="33"/>
      <c r="S150" s="30"/>
      <c r="T150" s="30"/>
      <c r="U150" s="30"/>
      <c r="V150" s="30"/>
      <c r="W150" s="30"/>
      <c r="X150" s="33"/>
    </row>
    <row r="151" spans="1:24" ht="18" customHeight="1">
      <c r="A151" s="22"/>
      <c r="B151" s="32"/>
      <c r="C151" s="140"/>
      <c r="D151" s="140"/>
      <c r="E151" s="22"/>
      <c r="F151" s="22"/>
      <c r="G151" s="22"/>
      <c r="H151" s="22"/>
      <c r="I151" s="22"/>
      <c r="J151" s="22"/>
      <c r="K151" s="30"/>
      <c r="L151" s="33"/>
      <c r="M151" s="30"/>
      <c r="N151" s="30"/>
      <c r="O151" s="30"/>
      <c r="P151" s="30"/>
      <c r="Q151" s="30"/>
      <c r="R151" s="33"/>
      <c r="S151" s="30"/>
      <c r="T151" s="30"/>
      <c r="U151" s="30"/>
      <c r="V151" s="30"/>
      <c r="W151" s="30"/>
      <c r="X151" s="33"/>
    </row>
    <row r="152" spans="1:24" ht="18" customHeight="1">
      <c r="A152" s="22"/>
      <c r="B152" s="32"/>
      <c r="C152" s="140"/>
      <c r="D152" s="140"/>
      <c r="E152" s="22"/>
      <c r="F152" s="22"/>
      <c r="G152" s="22"/>
      <c r="H152" s="22"/>
      <c r="I152" s="22"/>
      <c r="J152" s="22"/>
      <c r="K152" s="30"/>
      <c r="L152" s="33"/>
      <c r="M152" s="30"/>
      <c r="N152" s="30"/>
      <c r="O152" s="30"/>
      <c r="P152" s="30"/>
      <c r="Q152" s="30"/>
      <c r="R152" s="33"/>
      <c r="S152" s="30"/>
      <c r="T152" s="30"/>
      <c r="U152" s="30"/>
      <c r="V152" s="30"/>
      <c r="W152" s="30"/>
      <c r="X152" s="33"/>
    </row>
    <row r="153" spans="1:24" ht="18" customHeight="1">
      <c r="A153" s="22"/>
      <c r="B153" s="32"/>
      <c r="C153" s="140"/>
      <c r="D153" s="140"/>
      <c r="E153" s="22"/>
      <c r="F153" s="22"/>
      <c r="G153" s="22"/>
      <c r="H153" s="22"/>
      <c r="I153" s="22"/>
      <c r="J153" s="22"/>
      <c r="K153" s="30"/>
      <c r="L153" s="33"/>
      <c r="M153" s="30"/>
      <c r="N153" s="30"/>
      <c r="O153" s="30"/>
      <c r="P153" s="30"/>
      <c r="Q153" s="30"/>
      <c r="R153" s="33"/>
      <c r="S153" s="30"/>
      <c r="T153" s="30"/>
      <c r="U153" s="30"/>
      <c r="V153" s="30"/>
      <c r="W153" s="30"/>
      <c r="X153" s="33"/>
    </row>
    <row r="154" spans="1:24" ht="18" customHeight="1">
      <c r="A154" s="22"/>
      <c r="B154" s="32"/>
      <c r="C154" s="140"/>
      <c r="D154" s="140"/>
      <c r="E154" s="22"/>
      <c r="F154" s="22"/>
      <c r="G154" s="22"/>
      <c r="H154" s="22"/>
      <c r="I154" s="22"/>
      <c r="J154" s="22"/>
      <c r="K154" s="30"/>
      <c r="L154" s="33"/>
      <c r="M154" s="30"/>
      <c r="N154" s="30"/>
      <c r="O154" s="30"/>
      <c r="P154" s="30"/>
      <c r="Q154" s="30"/>
      <c r="R154" s="33"/>
      <c r="S154" s="30"/>
      <c r="T154" s="30"/>
      <c r="U154" s="30"/>
      <c r="V154" s="30"/>
      <c r="W154" s="30"/>
      <c r="X154" s="33"/>
    </row>
    <row r="155" spans="1:24" ht="18" customHeight="1">
      <c r="A155" s="22"/>
      <c r="B155" s="32"/>
      <c r="C155" s="140"/>
      <c r="D155" s="140"/>
      <c r="E155" s="22"/>
      <c r="F155" s="22"/>
      <c r="G155" s="22"/>
      <c r="H155" s="22"/>
      <c r="I155" s="22"/>
      <c r="J155" s="22"/>
      <c r="K155" s="30"/>
      <c r="L155" s="33"/>
      <c r="M155" s="30"/>
      <c r="N155" s="30"/>
      <c r="O155" s="30"/>
      <c r="P155" s="30"/>
      <c r="Q155" s="30"/>
      <c r="R155" s="33"/>
      <c r="S155" s="30"/>
      <c r="T155" s="30"/>
      <c r="U155" s="30"/>
      <c r="V155" s="30"/>
      <c r="W155" s="30"/>
      <c r="X155" s="33"/>
    </row>
    <row r="156" spans="1:24" ht="18" customHeight="1">
      <c r="A156" s="22"/>
      <c r="B156" s="32"/>
      <c r="C156" s="140"/>
      <c r="D156" s="140"/>
      <c r="E156" s="22"/>
      <c r="F156" s="22"/>
      <c r="G156" s="22"/>
      <c r="H156" s="22"/>
      <c r="I156" s="22"/>
      <c r="J156" s="22"/>
      <c r="K156" s="30"/>
      <c r="L156" s="33"/>
      <c r="M156" s="30"/>
      <c r="N156" s="30"/>
      <c r="O156" s="30"/>
      <c r="P156" s="30"/>
      <c r="Q156" s="30"/>
      <c r="R156" s="33"/>
      <c r="S156" s="30"/>
      <c r="T156" s="30"/>
      <c r="U156" s="30"/>
      <c r="V156" s="30"/>
      <c r="W156" s="30"/>
      <c r="X156" s="33"/>
    </row>
    <row r="157" spans="1:24" ht="18" customHeight="1">
      <c r="A157" s="22"/>
      <c r="B157" s="32"/>
      <c r="C157" s="140"/>
      <c r="D157" s="140"/>
      <c r="E157" s="22"/>
      <c r="F157" s="22"/>
      <c r="G157" s="22"/>
      <c r="H157" s="22"/>
      <c r="I157" s="22"/>
      <c r="J157" s="22"/>
      <c r="K157" s="30"/>
      <c r="L157" s="33"/>
      <c r="M157" s="30"/>
      <c r="N157" s="30"/>
      <c r="O157" s="30"/>
      <c r="P157" s="30"/>
      <c r="Q157" s="30"/>
      <c r="R157" s="33"/>
      <c r="S157" s="30"/>
      <c r="T157" s="30"/>
      <c r="U157" s="30"/>
      <c r="V157" s="30"/>
      <c r="W157" s="30"/>
      <c r="X157" s="33"/>
    </row>
    <row r="158" spans="1:24" ht="18" customHeight="1">
      <c r="A158" s="22"/>
      <c r="B158" s="32"/>
      <c r="C158" s="140"/>
      <c r="D158" s="140"/>
      <c r="E158" s="22"/>
      <c r="F158" s="22"/>
      <c r="G158" s="22"/>
      <c r="H158" s="22"/>
      <c r="I158" s="22"/>
      <c r="J158" s="22"/>
      <c r="K158" s="30"/>
      <c r="L158" s="33"/>
      <c r="M158" s="30"/>
      <c r="N158" s="30"/>
      <c r="O158" s="30"/>
      <c r="P158" s="30"/>
      <c r="Q158" s="30"/>
      <c r="R158" s="33"/>
      <c r="S158" s="30"/>
      <c r="T158" s="30"/>
      <c r="U158" s="30"/>
      <c r="V158" s="30"/>
      <c r="W158" s="30"/>
      <c r="X158" s="33"/>
    </row>
    <row r="159" spans="1:24" ht="18" customHeight="1">
      <c r="A159" s="22"/>
      <c r="B159" s="32"/>
      <c r="C159" s="140"/>
      <c r="D159" s="140"/>
      <c r="E159" s="22"/>
      <c r="F159" s="22"/>
      <c r="G159" s="22"/>
      <c r="H159" s="22"/>
      <c r="I159" s="22"/>
      <c r="J159" s="22"/>
      <c r="K159" s="30"/>
      <c r="L159" s="33"/>
      <c r="M159" s="30"/>
      <c r="N159" s="30"/>
      <c r="O159" s="30"/>
      <c r="P159" s="30"/>
      <c r="Q159" s="30"/>
      <c r="R159" s="33"/>
      <c r="S159" s="30"/>
      <c r="T159" s="30"/>
      <c r="U159" s="30"/>
      <c r="V159" s="30"/>
      <c r="W159" s="30"/>
      <c r="X159" s="33"/>
    </row>
    <row r="160" spans="1:24" ht="18" customHeight="1">
      <c r="A160" s="22"/>
      <c r="B160" s="32"/>
      <c r="C160" s="140"/>
      <c r="D160" s="140"/>
      <c r="E160" s="22"/>
      <c r="F160" s="22"/>
      <c r="G160" s="22"/>
      <c r="H160" s="22"/>
      <c r="I160" s="22"/>
      <c r="J160" s="22"/>
      <c r="K160" s="30"/>
      <c r="L160" s="33"/>
      <c r="M160" s="30"/>
      <c r="N160" s="30"/>
      <c r="O160" s="30"/>
      <c r="P160" s="30"/>
      <c r="Q160" s="30"/>
      <c r="R160" s="33"/>
      <c r="S160" s="30"/>
      <c r="T160" s="30"/>
      <c r="U160" s="30"/>
      <c r="V160" s="30"/>
      <c r="W160" s="30"/>
      <c r="X160" s="33"/>
    </row>
    <row r="161" spans="1:24" ht="18" customHeight="1">
      <c r="A161" s="22"/>
      <c r="B161" s="32"/>
      <c r="C161" s="140"/>
      <c r="D161" s="140"/>
      <c r="E161" s="22"/>
      <c r="F161" s="22"/>
      <c r="G161" s="22"/>
      <c r="H161" s="22"/>
      <c r="I161" s="22"/>
      <c r="J161" s="22"/>
      <c r="K161" s="30"/>
      <c r="L161" s="33"/>
      <c r="M161" s="30"/>
      <c r="N161" s="30"/>
      <c r="O161" s="30"/>
      <c r="P161" s="30"/>
      <c r="Q161" s="30"/>
      <c r="R161" s="33"/>
      <c r="S161" s="30"/>
      <c r="T161" s="30"/>
      <c r="U161" s="30"/>
      <c r="V161" s="30"/>
      <c r="W161" s="30"/>
      <c r="X161" s="33"/>
    </row>
    <row r="162" spans="1:24" ht="18" customHeight="1">
      <c r="A162" s="22"/>
      <c r="B162" s="32"/>
      <c r="C162" s="140"/>
      <c r="D162" s="140"/>
      <c r="E162" s="22"/>
      <c r="F162" s="22"/>
      <c r="G162" s="22"/>
      <c r="H162" s="22"/>
      <c r="I162" s="22"/>
      <c r="J162" s="22"/>
      <c r="K162" s="30"/>
      <c r="L162" s="33"/>
      <c r="M162" s="30"/>
      <c r="N162" s="30"/>
      <c r="O162" s="30"/>
      <c r="P162" s="30"/>
      <c r="Q162" s="30"/>
      <c r="R162" s="33"/>
      <c r="S162" s="30"/>
      <c r="T162" s="30"/>
      <c r="U162" s="30"/>
      <c r="V162" s="30"/>
      <c r="W162" s="30"/>
      <c r="X162" s="33"/>
    </row>
    <row r="163" spans="1:24" ht="18" customHeight="1">
      <c r="A163" s="22"/>
      <c r="B163" s="32"/>
      <c r="C163" s="140"/>
      <c r="D163" s="140"/>
      <c r="E163" s="22"/>
      <c r="F163" s="22"/>
      <c r="G163" s="22"/>
      <c r="H163" s="22"/>
      <c r="I163" s="22"/>
      <c r="J163" s="22"/>
      <c r="K163" s="30"/>
      <c r="L163" s="33"/>
      <c r="M163" s="30"/>
      <c r="N163" s="30"/>
      <c r="O163" s="30"/>
      <c r="P163" s="30"/>
      <c r="Q163" s="30"/>
      <c r="R163" s="33"/>
      <c r="S163" s="30"/>
      <c r="T163" s="30"/>
      <c r="U163" s="30"/>
      <c r="V163" s="30"/>
      <c r="W163" s="30"/>
      <c r="X163" s="33"/>
    </row>
    <row r="164" spans="1:24" ht="18" customHeight="1">
      <c r="A164" s="22"/>
      <c r="B164" s="32"/>
      <c r="C164" s="140"/>
      <c r="D164" s="140"/>
      <c r="E164" s="22"/>
      <c r="F164" s="22"/>
      <c r="G164" s="22"/>
      <c r="H164" s="22"/>
      <c r="I164" s="22"/>
      <c r="J164" s="22"/>
      <c r="K164" s="30"/>
      <c r="L164" s="33"/>
      <c r="M164" s="30"/>
      <c r="N164" s="30"/>
      <c r="O164" s="30"/>
      <c r="P164" s="30"/>
      <c r="Q164" s="30"/>
      <c r="R164" s="33"/>
      <c r="S164" s="30"/>
      <c r="T164" s="30"/>
      <c r="U164" s="30"/>
      <c r="V164" s="30"/>
      <c r="W164" s="30"/>
      <c r="X164" s="33"/>
    </row>
    <row r="165" spans="1:24" ht="18" customHeight="1">
      <c r="A165" s="22"/>
      <c r="B165" s="32"/>
      <c r="C165" s="140"/>
      <c r="D165" s="140"/>
      <c r="E165" s="22"/>
      <c r="F165" s="22"/>
      <c r="G165" s="22"/>
      <c r="H165" s="22"/>
      <c r="I165" s="22"/>
      <c r="J165" s="22"/>
      <c r="K165" s="30"/>
      <c r="L165" s="33"/>
      <c r="M165" s="30"/>
      <c r="N165" s="30"/>
      <c r="O165" s="30"/>
      <c r="P165" s="30"/>
      <c r="Q165" s="30"/>
      <c r="R165" s="33"/>
      <c r="S165" s="30"/>
      <c r="T165" s="30"/>
      <c r="U165" s="30"/>
      <c r="V165" s="30"/>
      <c r="W165" s="30"/>
      <c r="X165" s="33"/>
    </row>
    <row r="166" spans="1:24" ht="18" customHeight="1">
      <c r="A166" s="22"/>
      <c r="B166" s="32"/>
      <c r="C166" s="140"/>
      <c r="D166" s="140"/>
      <c r="E166" s="22"/>
      <c r="F166" s="22"/>
      <c r="G166" s="22"/>
      <c r="H166" s="22"/>
      <c r="I166" s="22"/>
      <c r="J166" s="22"/>
      <c r="K166" s="30"/>
      <c r="L166" s="33"/>
      <c r="M166" s="30"/>
      <c r="N166" s="30"/>
      <c r="O166" s="30"/>
      <c r="P166" s="30"/>
      <c r="Q166" s="30"/>
      <c r="R166" s="33"/>
      <c r="S166" s="30"/>
      <c r="T166" s="30"/>
      <c r="U166" s="30"/>
      <c r="V166" s="30"/>
      <c r="W166" s="30"/>
      <c r="X166" s="33"/>
    </row>
    <row r="167" spans="1:24" ht="18" customHeight="1">
      <c r="A167" s="22"/>
      <c r="B167" s="32"/>
      <c r="C167" s="140"/>
      <c r="D167" s="140"/>
      <c r="E167" s="22"/>
      <c r="F167" s="22"/>
      <c r="G167" s="22"/>
      <c r="H167" s="22"/>
      <c r="I167" s="22"/>
      <c r="J167" s="22"/>
      <c r="K167" s="30"/>
      <c r="L167" s="33"/>
      <c r="M167" s="30"/>
      <c r="N167" s="30"/>
      <c r="O167" s="30"/>
      <c r="P167" s="30"/>
      <c r="Q167" s="30"/>
      <c r="R167" s="33"/>
      <c r="S167" s="30"/>
      <c r="T167" s="30"/>
      <c r="U167" s="30"/>
      <c r="V167" s="30"/>
      <c r="W167" s="30"/>
      <c r="X167" s="33"/>
    </row>
    <row r="168" spans="1:24" ht="18" customHeight="1">
      <c r="A168" s="22"/>
      <c r="B168" s="32"/>
      <c r="C168" s="140"/>
      <c r="D168" s="140"/>
      <c r="E168" s="22"/>
      <c r="F168" s="22"/>
      <c r="G168" s="22"/>
      <c r="H168" s="22"/>
      <c r="I168" s="22"/>
      <c r="J168" s="22"/>
      <c r="K168" s="30"/>
      <c r="L168" s="33"/>
      <c r="M168" s="30"/>
      <c r="N168" s="30"/>
      <c r="O168" s="30"/>
      <c r="P168" s="30"/>
      <c r="Q168" s="30"/>
      <c r="R168" s="33"/>
      <c r="S168" s="30"/>
      <c r="T168" s="30"/>
      <c r="U168" s="30"/>
      <c r="V168" s="30"/>
      <c r="W168" s="30"/>
      <c r="X168" s="33"/>
    </row>
    <row r="169" spans="1:24" ht="18" customHeight="1">
      <c r="A169" s="22"/>
      <c r="B169" s="32"/>
      <c r="C169" s="140"/>
      <c r="D169" s="140"/>
      <c r="E169" s="22"/>
      <c r="F169" s="22"/>
      <c r="G169" s="22"/>
      <c r="H169" s="22"/>
      <c r="I169" s="22"/>
      <c r="J169" s="22"/>
      <c r="K169" s="30"/>
      <c r="L169" s="33"/>
      <c r="M169" s="30"/>
      <c r="N169" s="30"/>
      <c r="O169" s="30"/>
      <c r="P169" s="30"/>
      <c r="Q169" s="30"/>
      <c r="R169" s="33"/>
      <c r="S169" s="30"/>
      <c r="T169" s="30"/>
      <c r="U169" s="30"/>
      <c r="V169" s="30"/>
      <c r="W169" s="30"/>
      <c r="X169" s="33"/>
    </row>
    <row r="170" spans="1:24" ht="18" customHeight="1">
      <c r="A170" s="22"/>
      <c r="B170" s="32"/>
      <c r="C170" s="140"/>
      <c r="D170" s="140"/>
      <c r="E170" s="22"/>
      <c r="F170" s="22"/>
      <c r="G170" s="22"/>
      <c r="H170" s="22"/>
      <c r="I170" s="22"/>
      <c r="J170" s="22"/>
      <c r="K170" s="30"/>
      <c r="L170" s="33"/>
      <c r="M170" s="30"/>
      <c r="N170" s="30"/>
      <c r="O170" s="30"/>
      <c r="P170" s="30"/>
      <c r="Q170" s="30"/>
      <c r="R170" s="33"/>
      <c r="S170" s="30"/>
      <c r="T170" s="30"/>
      <c r="U170" s="30"/>
      <c r="V170" s="30"/>
      <c r="W170" s="30"/>
      <c r="X170" s="33"/>
    </row>
    <row r="171" spans="1:24" ht="18" customHeight="1">
      <c r="A171" s="22"/>
      <c r="B171" s="32"/>
      <c r="C171" s="140"/>
      <c r="D171" s="140"/>
      <c r="E171" s="22"/>
      <c r="F171" s="22"/>
      <c r="G171" s="22"/>
      <c r="H171" s="22"/>
      <c r="I171" s="22"/>
      <c r="J171" s="22"/>
      <c r="K171" s="30"/>
      <c r="L171" s="33"/>
      <c r="M171" s="30"/>
      <c r="N171" s="30"/>
      <c r="O171" s="30"/>
      <c r="P171" s="30"/>
      <c r="Q171" s="30"/>
      <c r="R171" s="33"/>
      <c r="S171" s="30"/>
      <c r="T171" s="30"/>
      <c r="U171" s="30"/>
      <c r="V171" s="30"/>
      <c r="W171" s="30"/>
      <c r="X171" s="33"/>
    </row>
    <row r="172" spans="1:24" ht="18" customHeight="1">
      <c r="A172" s="22"/>
      <c r="B172" s="32"/>
      <c r="C172" s="140"/>
      <c r="D172" s="140"/>
      <c r="E172" s="22"/>
      <c r="F172" s="22"/>
      <c r="G172" s="22"/>
      <c r="H172" s="22"/>
      <c r="I172" s="22"/>
      <c r="J172" s="22"/>
      <c r="K172" s="30"/>
      <c r="L172" s="33"/>
      <c r="M172" s="30"/>
      <c r="N172" s="30"/>
      <c r="O172" s="30"/>
      <c r="P172" s="30"/>
      <c r="Q172" s="30"/>
      <c r="R172" s="33"/>
      <c r="S172" s="30"/>
      <c r="T172" s="30"/>
      <c r="U172" s="30"/>
      <c r="V172" s="30"/>
      <c r="W172" s="30"/>
      <c r="X172" s="33"/>
    </row>
    <row r="173" spans="1:24" ht="18" customHeight="1">
      <c r="A173" s="22"/>
      <c r="B173" s="32"/>
      <c r="C173" s="140"/>
      <c r="D173" s="140"/>
      <c r="E173" s="22"/>
      <c r="F173" s="22"/>
      <c r="G173" s="22"/>
      <c r="H173" s="22"/>
      <c r="I173" s="22"/>
      <c r="J173" s="22"/>
      <c r="K173" s="30"/>
      <c r="L173" s="33"/>
      <c r="M173" s="30"/>
      <c r="N173" s="30"/>
      <c r="O173" s="30"/>
      <c r="P173" s="30"/>
      <c r="Q173" s="30"/>
      <c r="R173" s="33"/>
      <c r="S173" s="30"/>
      <c r="T173" s="30"/>
      <c r="U173" s="30"/>
      <c r="V173" s="30"/>
      <c r="W173" s="30"/>
      <c r="X173" s="33"/>
    </row>
    <row r="174" spans="1:24" ht="18" customHeight="1">
      <c r="A174" s="22"/>
      <c r="B174" s="32"/>
      <c r="C174" s="140"/>
      <c r="D174" s="140"/>
      <c r="E174" s="22"/>
      <c r="F174" s="22"/>
      <c r="G174" s="22"/>
      <c r="H174" s="22"/>
      <c r="I174" s="22"/>
      <c r="J174" s="22"/>
      <c r="K174" s="30"/>
      <c r="L174" s="33"/>
      <c r="M174" s="30"/>
      <c r="N174" s="30"/>
      <c r="O174" s="30"/>
      <c r="P174" s="30"/>
      <c r="Q174" s="30"/>
      <c r="R174" s="33"/>
      <c r="S174" s="30"/>
      <c r="T174" s="30"/>
      <c r="U174" s="30"/>
      <c r="V174" s="30"/>
      <c r="W174" s="30"/>
      <c r="X174" s="33"/>
    </row>
    <row r="175" spans="1:24" ht="18" customHeight="1">
      <c r="A175" s="22"/>
      <c r="B175" s="32"/>
      <c r="C175" s="140"/>
      <c r="D175" s="140"/>
      <c r="E175" s="22"/>
      <c r="F175" s="22"/>
      <c r="G175" s="22"/>
      <c r="H175" s="22"/>
      <c r="I175" s="22"/>
      <c r="J175" s="22"/>
      <c r="K175" s="30"/>
      <c r="L175" s="33"/>
      <c r="M175" s="30"/>
      <c r="N175" s="30"/>
      <c r="O175" s="30"/>
      <c r="P175" s="30"/>
      <c r="Q175" s="30"/>
      <c r="R175" s="33"/>
      <c r="S175" s="30"/>
      <c r="T175" s="30"/>
      <c r="U175" s="30"/>
      <c r="V175" s="30"/>
      <c r="W175" s="30"/>
      <c r="X175" s="33"/>
    </row>
    <row r="176" spans="1:24" ht="18" customHeight="1">
      <c r="A176" s="22"/>
      <c r="B176" s="32"/>
      <c r="C176" s="140"/>
      <c r="D176" s="140"/>
      <c r="E176" s="22"/>
      <c r="F176" s="22"/>
      <c r="G176" s="22"/>
      <c r="H176" s="22"/>
      <c r="I176" s="22"/>
      <c r="J176" s="22"/>
      <c r="K176" s="30"/>
      <c r="L176" s="33"/>
      <c r="M176" s="30"/>
      <c r="N176" s="30"/>
      <c r="O176" s="30"/>
      <c r="P176" s="30"/>
      <c r="Q176" s="30"/>
      <c r="R176" s="33"/>
      <c r="S176" s="30"/>
      <c r="T176" s="30"/>
      <c r="U176" s="30"/>
      <c r="V176" s="30"/>
      <c r="W176" s="30"/>
      <c r="X176" s="33"/>
    </row>
    <row r="177" spans="1:24" ht="18" customHeight="1">
      <c r="A177" s="22"/>
      <c r="B177" s="32"/>
      <c r="C177" s="140"/>
      <c r="D177" s="140"/>
      <c r="E177" s="22"/>
      <c r="F177" s="22"/>
      <c r="G177" s="22"/>
      <c r="H177" s="22"/>
      <c r="I177" s="22"/>
      <c r="J177" s="22"/>
      <c r="K177" s="30"/>
      <c r="L177" s="33"/>
      <c r="M177" s="30"/>
      <c r="N177" s="30"/>
      <c r="O177" s="30"/>
      <c r="P177" s="30"/>
      <c r="Q177" s="30"/>
      <c r="R177" s="33"/>
      <c r="S177" s="30"/>
      <c r="T177" s="30"/>
      <c r="U177" s="30"/>
      <c r="V177" s="30"/>
      <c r="W177" s="30"/>
      <c r="X177" s="33"/>
    </row>
    <row r="178" spans="1:24" ht="18" customHeight="1">
      <c r="A178" s="22"/>
      <c r="B178" s="32"/>
      <c r="C178" s="140"/>
      <c r="D178" s="140"/>
      <c r="E178" s="22"/>
      <c r="F178" s="22"/>
      <c r="G178" s="22"/>
      <c r="H178" s="22"/>
      <c r="I178" s="22"/>
      <c r="J178" s="22"/>
      <c r="K178" s="30"/>
      <c r="L178" s="33"/>
      <c r="M178" s="30"/>
      <c r="N178" s="30"/>
      <c r="O178" s="30"/>
      <c r="P178" s="30"/>
      <c r="Q178" s="30"/>
      <c r="R178" s="33"/>
      <c r="S178" s="30"/>
      <c r="T178" s="30"/>
      <c r="U178" s="30"/>
      <c r="V178" s="30"/>
      <c r="W178" s="30"/>
      <c r="X178" s="33"/>
    </row>
    <row r="179" spans="1:24" ht="18" customHeight="1">
      <c r="A179" s="22"/>
      <c r="B179" s="32"/>
      <c r="C179" s="140"/>
      <c r="D179" s="140"/>
      <c r="E179" s="22"/>
      <c r="F179" s="22"/>
      <c r="G179" s="22"/>
      <c r="H179" s="22"/>
      <c r="I179" s="22"/>
      <c r="J179" s="22"/>
      <c r="K179" s="30"/>
      <c r="L179" s="33"/>
      <c r="M179" s="30"/>
      <c r="N179" s="30"/>
      <c r="O179" s="30"/>
      <c r="P179" s="30"/>
      <c r="Q179" s="30"/>
      <c r="R179" s="33"/>
      <c r="S179" s="30"/>
      <c r="T179" s="30"/>
      <c r="U179" s="30"/>
      <c r="V179" s="30"/>
      <c r="W179" s="30"/>
      <c r="X179" s="33"/>
    </row>
    <row r="180" spans="1:24" ht="18" customHeight="1">
      <c r="A180" s="22"/>
      <c r="B180" s="32"/>
      <c r="C180" s="140"/>
      <c r="D180" s="140"/>
      <c r="E180" s="22"/>
      <c r="F180" s="22"/>
      <c r="G180" s="22"/>
      <c r="H180" s="22"/>
      <c r="I180" s="22"/>
      <c r="J180" s="22"/>
      <c r="K180" s="30"/>
      <c r="L180" s="33"/>
      <c r="M180" s="30"/>
      <c r="N180" s="30"/>
      <c r="O180" s="30"/>
      <c r="P180" s="30"/>
      <c r="Q180" s="30"/>
      <c r="R180" s="33"/>
      <c r="S180" s="30"/>
      <c r="T180" s="30"/>
      <c r="U180" s="30"/>
      <c r="V180" s="30"/>
      <c r="W180" s="30"/>
      <c r="X180" s="33"/>
    </row>
    <row r="181" spans="1:24" ht="18" customHeight="1">
      <c r="A181" s="22"/>
      <c r="B181" s="32"/>
      <c r="C181" s="140"/>
      <c r="D181" s="140"/>
      <c r="E181" s="22"/>
      <c r="F181" s="22"/>
      <c r="G181" s="22"/>
      <c r="H181" s="22"/>
      <c r="I181" s="22"/>
      <c r="J181" s="22"/>
      <c r="K181" s="30"/>
      <c r="L181" s="33"/>
      <c r="M181" s="30"/>
      <c r="N181" s="30"/>
      <c r="O181" s="30"/>
      <c r="P181" s="30"/>
      <c r="Q181" s="30"/>
      <c r="R181" s="33"/>
      <c r="S181" s="30"/>
      <c r="T181" s="30"/>
      <c r="U181" s="30"/>
      <c r="V181" s="30"/>
      <c r="W181" s="30"/>
      <c r="X181" s="33"/>
    </row>
    <row r="182" spans="1:24" ht="18" customHeight="1">
      <c r="A182" s="22"/>
      <c r="B182" s="32"/>
      <c r="C182" s="140"/>
      <c r="D182" s="140"/>
      <c r="E182" s="22"/>
      <c r="F182" s="22"/>
      <c r="G182" s="22"/>
      <c r="H182" s="22"/>
      <c r="I182" s="22"/>
      <c r="J182" s="22"/>
      <c r="K182" s="30"/>
      <c r="L182" s="33"/>
      <c r="M182" s="30"/>
      <c r="N182" s="30"/>
      <c r="O182" s="30"/>
      <c r="P182" s="30"/>
      <c r="Q182" s="30"/>
      <c r="R182" s="33"/>
      <c r="S182" s="30"/>
      <c r="T182" s="30"/>
      <c r="U182" s="30"/>
      <c r="V182" s="30"/>
      <c r="W182" s="30"/>
      <c r="X182" s="33"/>
    </row>
    <row r="183" spans="1:24" ht="18" customHeight="1">
      <c r="A183" s="22"/>
      <c r="B183" s="32"/>
      <c r="C183" s="140"/>
      <c r="D183" s="140"/>
      <c r="E183" s="22"/>
      <c r="F183" s="22"/>
      <c r="G183" s="22"/>
      <c r="H183" s="22"/>
      <c r="I183" s="22"/>
      <c r="J183" s="22"/>
      <c r="K183" s="30"/>
      <c r="L183" s="33"/>
      <c r="M183" s="30"/>
      <c r="N183" s="30"/>
      <c r="O183" s="30"/>
      <c r="P183" s="30"/>
      <c r="Q183" s="30"/>
      <c r="R183" s="33"/>
      <c r="S183" s="30"/>
      <c r="T183" s="30"/>
      <c r="U183" s="30"/>
      <c r="V183" s="30"/>
      <c r="W183" s="30"/>
      <c r="X183" s="33"/>
    </row>
    <row r="184" spans="1:24" ht="18" customHeight="1">
      <c r="A184" s="22"/>
      <c r="B184" s="32"/>
      <c r="C184" s="140"/>
      <c r="D184" s="140"/>
      <c r="E184" s="22"/>
      <c r="F184" s="22"/>
      <c r="G184" s="22"/>
      <c r="H184" s="22"/>
      <c r="I184" s="22"/>
      <c r="J184" s="22"/>
      <c r="K184" s="30"/>
      <c r="L184" s="33"/>
      <c r="M184" s="30"/>
      <c r="N184" s="30"/>
      <c r="O184" s="30"/>
      <c r="P184" s="30"/>
      <c r="Q184" s="30"/>
      <c r="R184" s="33"/>
      <c r="S184" s="30"/>
      <c r="T184" s="30"/>
      <c r="U184" s="30"/>
      <c r="V184" s="30"/>
      <c r="W184" s="30"/>
      <c r="X184" s="33"/>
    </row>
    <row r="185" spans="1:24" ht="18" customHeight="1">
      <c r="A185" s="22"/>
      <c r="B185" s="32"/>
      <c r="C185" s="140"/>
      <c r="D185" s="140"/>
      <c r="E185" s="22"/>
      <c r="F185" s="22"/>
      <c r="G185" s="22"/>
      <c r="H185" s="22"/>
      <c r="I185" s="22"/>
      <c r="J185" s="22"/>
      <c r="K185" s="30"/>
      <c r="L185" s="33"/>
      <c r="M185" s="30"/>
      <c r="N185" s="30"/>
      <c r="O185" s="30"/>
      <c r="P185" s="30"/>
      <c r="Q185" s="30"/>
      <c r="R185" s="33"/>
      <c r="S185" s="30"/>
      <c r="T185" s="30"/>
      <c r="U185" s="30"/>
      <c r="V185" s="30"/>
      <c r="W185" s="30"/>
      <c r="X185" s="33"/>
    </row>
    <row r="186" spans="1:24" ht="18" customHeight="1">
      <c r="A186" s="22"/>
      <c r="B186" s="32"/>
      <c r="C186" s="140"/>
      <c r="D186" s="140"/>
      <c r="E186" s="22"/>
      <c r="F186" s="22"/>
      <c r="G186" s="22"/>
      <c r="H186" s="22"/>
      <c r="I186" s="22"/>
      <c r="J186" s="22"/>
      <c r="K186" s="30"/>
      <c r="L186" s="33"/>
      <c r="M186" s="30"/>
      <c r="N186" s="30"/>
      <c r="O186" s="30"/>
      <c r="P186" s="30"/>
      <c r="Q186" s="30"/>
      <c r="R186" s="33"/>
      <c r="S186" s="30"/>
      <c r="T186" s="30"/>
      <c r="U186" s="30"/>
      <c r="V186" s="30"/>
      <c r="W186" s="30"/>
      <c r="X186" s="33"/>
    </row>
    <row r="187" spans="1:24" ht="18" customHeight="1">
      <c r="A187" s="22"/>
      <c r="B187" s="32"/>
      <c r="C187" s="140"/>
      <c r="D187" s="140"/>
      <c r="E187" s="22"/>
      <c r="F187" s="22"/>
      <c r="G187" s="22"/>
      <c r="H187" s="22"/>
      <c r="I187" s="22"/>
      <c r="J187" s="22"/>
      <c r="K187" s="30"/>
      <c r="L187" s="33"/>
      <c r="M187" s="30"/>
      <c r="N187" s="30"/>
      <c r="O187" s="30"/>
      <c r="P187" s="30"/>
      <c r="Q187" s="30"/>
      <c r="R187" s="33"/>
      <c r="S187" s="30"/>
      <c r="T187" s="30"/>
      <c r="U187" s="30"/>
      <c r="V187" s="30"/>
      <c r="W187" s="30"/>
      <c r="X187" s="33"/>
    </row>
    <row r="188" spans="1:24" ht="18" customHeight="1">
      <c r="A188" s="22"/>
      <c r="B188" s="32"/>
      <c r="C188" s="140"/>
      <c r="D188" s="140"/>
      <c r="E188" s="22"/>
      <c r="F188" s="22"/>
      <c r="G188" s="22"/>
      <c r="H188" s="22"/>
      <c r="I188" s="22"/>
      <c r="J188" s="22"/>
      <c r="K188" s="30"/>
      <c r="L188" s="33"/>
      <c r="M188" s="30"/>
      <c r="N188" s="30"/>
      <c r="O188" s="30"/>
      <c r="P188" s="30"/>
      <c r="Q188" s="30"/>
      <c r="R188" s="33"/>
      <c r="S188" s="30"/>
      <c r="T188" s="30"/>
      <c r="U188" s="30"/>
      <c r="V188" s="30"/>
      <c r="W188" s="30"/>
      <c r="X188" s="33"/>
    </row>
    <row r="189" spans="1:24" ht="18" customHeight="1">
      <c r="A189" s="22"/>
      <c r="B189" s="32"/>
      <c r="C189" s="140"/>
      <c r="D189" s="140"/>
      <c r="E189" s="22"/>
      <c r="F189" s="22"/>
      <c r="G189" s="22"/>
      <c r="H189" s="22"/>
      <c r="I189" s="22"/>
      <c r="J189" s="22"/>
      <c r="K189" s="30"/>
      <c r="L189" s="33"/>
      <c r="M189" s="30"/>
      <c r="N189" s="30"/>
      <c r="O189" s="30"/>
      <c r="P189" s="30"/>
      <c r="Q189" s="30"/>
      <c r="R189" s="33"/>
      <c r="S189" s="30"/>
      <c r="T189" s="30"/>
      <c r="U189" s="30"/>
      <c r="V189" s="30"/>
      <c r="W189" s="30"/>
      <c r="X189" s="33"/>
    </row>
    <row r="190" spans="1:24" ht="18" customHeight="1">
      <c r="A190" s="22"/>
      <c r="B190" s="32"/>
      <c r="C190" s="140"/>
      <c r="D190" s="140"/>
      <c r="E190" s="22"/>
      <c r="F190" s="22"/>
      <c r="G190" s="22"/>
      <c r="H190" s="22"/>
      <c r="I190" s="22"/>
      <c r="J190" s="22"/>
      <c r="K190" s="30"/>
      <c r="L190" s="33"/>
      <c r="M190" s="30"/>
      <c r="N190" s="30"/>
      <c r="O190" s="30"/>
      <c r="P190" s="30"/>
      <c r="Q190" s="30"/>
      <c r="R190" s="33"/>
      <c r="S190" s="30"/>
      <c r="T190" s="30"/>
      <c r="U190" s="30"/>
      <c r="V190" s="30"/>
      <c r="W190" s="30"/>
      <c r="X190" s="33"/>
    </row>
    <row r="191" spans="1:24" ht="18" customHeight="1">
      <c r="A191" s="22"/>
      <c r="B191" s="32"/>
      <c r="C191" s="140"/>
      <c r="D191" s="140"/>
      <c r="E191" s="22"/>
      <c r="F191" s="22"/>
      <c r="G191" s="22"/>
      <c r="H191" s="22"/>
      <c r="I191" s="22"/>
      <c r="J191" s="22"/>
      <c r="K191" s="30"/>
      <c r="L191" s="33"/>
      <c r="M191" s="30"/>
      <c r="N191" s="30"/>
      <c r="O191" s="30"/>
      <c r="P191" s="30"/>
      <c r="Q191" s="30"/>
      <c r="R191" s="33"/>
      <c r="S191" s="30"/>
      <c r="T191" s="30"/>
      <c r="U191" s="30"/>
      <c r="V191" s="30"/>
      <c r="W191" s="30"/>
      <c r="X191" s="33"/>
    </row>
    <row r="192" spans="1:24" ht="18" customHeight="1">
      <c r="A192" s="22"/>
      <c r="B192" s="32"/>
      <c r="C192" s="140"/>
      <c r="D192" s="140"/>
      <c r="E192" s="22"/>
      <c r="F192" s="22"/>
      <c r="G192" s="22"/>
      <c r="H192" s="22"/>
      <c r="I192" s="22"/>
      <c r="J192" s="22"/>
      <c r="K192" s="30"/>
      <c r="L192" s="33"/>
      <c r="M192" s="30"/>
      <c r="N192" s="30"/>
      <c r="O192" s="30"/>
      <c r="P192" s="30"/>
      <c r="Q192" s="30"/>
      <c r="R192" s="33"/>
      <c r="S192" s="30"/>
      <c r="T192" s="30"/>
      <c r="U192" s="30"/>
      <c r="V192" s="30"/>
      <c r="W192" s="30"/>
      <c r="X192" s="33"/>
    </row>
    <row r="193" spans="1:24" ht="18" customHeight="1">
      <c r="A193" s="22"/>
      <c r="B193" s="32"/>
      <c r="C193" s="140"/>
      <c r="D193" s="140"/>
      <c r="E193" s="22"/>
      <c r="F193" s="22"/>
      <c r="G193" s="22"/>
      <c r="H193" s="22"/>
      <c r="I193" s="22"/>
      <c r="J193" s="22"/>
      <c r="K193" s="30"/>
      <c r="L193" s="33"/>
      <c r="M193" s="30"/>
      <c r="N193" s="30"/>
      <c r="O193" s="30"/>
      <c r="P193" s="30"/>
      <c r="Q193" s="30"/>
      <c r="R193" s="33"/>
      <c r="S193" s="30"/>
      <c r="T193" s="30"/>
      <c r="U193" s="30"/>
      <c r="V193" s="30"/>
      <c r="W193" s="30"/>
      <c r="X193" s="33"/>
    </row>
    <row r="194" spans="1:24" ht="18" customHeight="1">
      <c r="A194" s="22"/>
      <c r="B194" s="32"/>
      <c r="C194" s="140"/>
      <c r="D194" s="140"/>
      <c r="E194" s="22"/>
      <c r="F194" s="22"/>
      <c r="G194" s="22"/>
      <c r="H194" s="22"/>
      <c r="I194" s="22"/>
      <c r="J194" s="22"/>
      <c r="K194" s="30"/>
      <c r="L194" s="33"/>
      <c r="M194" s="30"/>
      <c r="N194" s="30"/>
      <c r="O194" s="30"/>
      <c r="P194" s="30"/>
      <c r="Q194" s="30"/>
      <c r="R194" s="33"/>
      <c r="S194" s="30"/>
      <c r="T194" s="30"/>
      <c r="U194" s="30"/>
      <c r="V194" s="30"/>
      <c r="W194" s="30"/>
      <c r="X194" s="33"/>
    </row>
    <row r="195" spans="1:24" ht="18" customHeight="1">
      <c r="A195" s="22"/>
      <c r="B195" s="32"/>
      <c r="C195" s="140"/>
      <c r="D195" s="140"/>
      <c r="E195" s="22"/>
      <c r="F195" s="22"/>
      <c r="G195" s="22"/>
      <c r="H195" s="22"/>
      <c r="I195" s="22"/>
      <c r="J195" s="22"/>
      <c r="K195" s="30"/>
      <c r="L195" s="33"/>
      <c r="M195" s="30"/>
      <c r="N195" s="30"/>
      <c r="O195" s="30"/>
      <c r="P195" s="30"/>
      <c r="Q195" s="30"/>
      <c r="R195" s="33"/>
      <c r="S195" s="30"/>
      <c r="T195" s="30"/>
      <c r="U195" s="30"/>
      <c r="V195" s="30"/>
      <c r="W195" s="30"/>
      <c r="X195" s="33"/>
    </row>
    <row r="196" spans="1:24" ht="18" customHeight="1">
      <c r="A196" s="22"/>
      <c r="B196" s="32"/>
      <c r="C196" s="140"/>
      <c r="D196" s="140"/>
      <c r="E196" s="22"/>
      <c r="F196" s="22"/>
      <c r="G196" s="22"/>
      <c r="H196" s="22"/>
      <c r="I196" s="22"/>
      <c r="J196" s="22"/>
      <c r="K196" s="30"/>
      <c r="L196" s="33"/>
      <c r="M196" s="30"/>
      <c r="N196" s="30"/>
      <c r="O196" s="30"/>
      <c r="P196" s="30"/>
      <c r="Q196" s="30"/>
      <c r="R196" s="33"/>
      <c r="S196" s="30"/>
      <c r="T196" s="30"/>
      <c r="U196" s="30"/>
      <c r="V196" s="30"/>
      <c r="W196" s="30"/>
      <c r="X196" s="33"/>
    </row>
    <row r="197" spans="1:24" ht="18" customHeight="1">
      <c r="A197" s="22"/>
      <c r="B197" s="32"/>
      <c r="C197" s="140"/>
      <c r="D197" s="140"/>
      <c r="E197" s="22"/>
      <c r="F197" s="22"/>
      <c r="G197" s="22"/>
      <c r="H197" s="22"/>
      <c r="I197" s="22"/>
      <c r="J197" s="22"/>
      <c r="K197" s="30"/>
      <c r="L197" s="33"/>
      <c r="M197" s="30"/>
      <c r="N197" s="30"/>
      <c r="O197" s="30"/>
      <c r="P197" s="30"/>
      <c r="Q197" s="30"/>
      <c r="R197" s="33"/>
      <c r="S197" s="30"/>
      <c r="T197" s="30"/>
      <c r="U197" s="30"/>
      <c r="V197" s="30"/>
      <c r="W197" s="30"/>
      <c r="X197" s="33"/>
    </row>
    <row r="198" spans="1:24" ht="18" customHeight="1">
      <c r="A198" s="22"/>
      <c r="B198" s="32"/>
      <c r="C198" s="140"/>
      <c r="D198" s="140"/>
      <c r="E198" s="22"/>
      <c r="F198" s="22"/>
      <c r="G198" s="22"/>
      <c r="H198" s="22"/>
      <c r="I198" s="22"/>
      <c r="J198" s="22"/>
      <c r="K198" s="30"/>
      <c r="L198" s="33"/>
      <c r="M198" s="30"/>
      <c r="N198" s="30"/>
      <c r="O198" s="30"/>
      <c r="P198" s="30"/>
      <c r="Q198" s="30"/>
      <c r="R198" s="33"/>
      <c r="S198" s="30"/>
      <c r="T198" s="30"/>
      <c r="U198" s="30"/>
      <c r="V198" s="30"/>
      <c r="W198" s="30"/>
      <c r="X198" s="33"/>
    </row>
    <row r="199" spans="1:24" ht="18" customHeight="1">
      <c r="A199" s="22"/>
      <c r="B199" s="32"/>
      <c r="C199" s="140"/>
      <c r="D199" s="140"/>
      <c r="E199" s="22"/>
      <c r="F199" s="22"/>
      <c r="G199" s="22"/>
      <c r="H199" s="22"/>
      <c r="I199" s="22"/>
      <c r="J199" s="22"/>
      <c r="K199" s="30"/>
      <c r="L199" s="33"/>
      <c r="M199" s="30"/>
      <c r="N199" s="30"/>
      <c r="O199" s="30"/>
      <c r="P199" s="30"/>
      <c r="Q199" s="30"/>
      <c r="R199" s="33"/>
      <c r="S199" s="30"/>
      <c r="T199" s="30"/>
      <c r="U199" s="30"/>
      <c r="V199" s="30"/>
      <c r="W199" s="30"/>
      <c r="X199" s="33"/>
    </row>
    <row r="200" spans="1:24" ht="18" customHeight="1">
      <c r="A200" s="22"/>
      <c r="B200" s="32"/>
      <c r="C200" s="140"/>
      <c r="D200" s="140"/>
      <c r="E200" s="22"/>
      <c r="F200" s="22"/>
      <c r="G200" s="22"/>
      <c r="H200" s="22"/>
      <c r="I200" s="22"/>
      <c r="J200" s="22"/>
      <c r="K200" s="30"/>
      <c r="L200" s="33"/>
      <c r="M200" s="30"/>
      <c r="N200" s="30"/>
      <c r="O200" s="30"/>
      <c r="P200" s="30"/>
      <c r="Q200" s="30"/>
      <c r="R200" s="33"/>
      <c r="S200" s="30"/>
      <c r="T200" s="30"/>
      <c r="U200" s="30"/>
      <c r="V200" s="30"/>
      <c r="W200" s="30"/>
      <c r="X200" s="33"/>
    </row>
    <row r="201" spans="1:24" ht="18" customHeight="1">
      <c r="A201" s="22"/>
      <c r="B201" s="32"/>
      <c r="C201" s="140"/>
      <c r="D201" s="140"/>
      <c r="E201" s="22"/>
      <c r="F201" s="22"/>
      <c r="G201" s="22"/>
      <c r="H201" s="22"/>
      <c r="I201" s="22"/>
      <c r="J201" s="22"/>
      <c r="K201" s="30"/>
      <c r="L201" s="33"/>
      <c r="M201" s="30"/>
      <c r="N201" s="30"/>
      <c r="O201" s="30"/>
      <c r="P201" s="30"/>
      <c r="Q201" s="30"/>
      <c r="R201" s="33"/>
      <c r="S201" s="30"/>
      <c r="T201" s="30"/>
      <c r="U201" s="30"/>
      <c r="V201" s="30"/>
      <c r="W201" s="30"/>
      <c r="X201" s="33"/>
    </row>
    <row r="202" spans="1:24" ht="18" customHeight="1">
      <c r="A202" s="22"/>
      <c r="B202" s="32"/>
      <c r="C202" s="140"/>
      <c r="D202" s="140"/>
      <c r="E202" s="22"/>
      <c r="F202" s="22"/>
      <c r="G202" s="22"/>
      <c r="H202" s="22"/>
      <c r="I202" s="22"/>
      <c r="J202" s="22"/>
      <c r="K202" s="30"/>
      <c r="L202" s="33"/>
      <c r="M202" s="30"/>
      <c r="N202" s="30"/>
      <c r="O202" s="30"/>
      <c r="P202" s="30"/>
      <c r="Q202" s="30"/>
      <c r="R202" s="33"/>
      <c r="S202" s="30"/>
      <c r="T202" s="30"/>
      <c r="U202" s="30"/>
      <c r="V202" s="30"/>
      <c r="W202" s="30"/>
      <c r="X202" s="33"/>
    </row>
    <row r="203" spans="1:24" ht="18" customHeight="1">
      <c r="A203" s="22"/>
      <c r="B203" s="32"/>
      <c r="C203" s="140"/>
      <c r="D203" s="140"/>
      <c r="E203" s="22"/>
      <c r="F203" s="22"/>
      <c r="G203" s="22"/>
      <c r="H203" s="22"/>
      <c r="I203" s="22"/>
      <c r="J203" s="22"/>
      <c r="K203" s="30"/>
      <c r="L203" s="33"/>
      <c r="M203" s="30"/>
      <c r="N203" s="30"/>
      <c r="O203" s="30"/>
      <c r="P203" s="30"/>
      <c r="Q203" s="30"/>
      <c r="R203" s="33"/>
      <c r="S203" s="30"/>
      <c r="T203" s="30"/>
      <c r="U203" s="30"/>
      <c r="V203" s="30"/>
      <c r="W203" s="30"/>
      <c r="X203" s="33"/>
    </row>
    <row r="204" spans="1:24" ht="18" customHeight="1">
      <c r="A204" s="22"/>
      <c r="B204" s="32"/>
      <c r="C204" s="140"/>
      <c r="D204" s="140"/>
      <c r="E204" s="22"/>
      <c r="F204" s="22"/>
      <c r="G204" s="22"/>
      <c r="H204" s="22"/>
      <c r="I204" s="22"/>
      <c r="J204" s="22"/>
      <c r="K204" s="30"/>
      <c r="L204" s="33"/>
      <c r="M204" s="30"/>
      <c r="N204" s="30"/>
      <c r="O204" s="30"/>
      <c r="P204" s="30"/>
      <c r="Q204" s="30"/>
      <c r="R204" s="33"/>
      <c r="S204" s="30"/>
      <c r="T204" s="30"/>
      <c r="U204" s="30"/>
      <c r="V204" s="30"/>
      <c r="W204" s="30"/>
      <c r="X204" s="33"/>
    </row>
    <row r="205" spans="1:24" ht="18" customHeight="1">
      <c r="A205" s="22"/>
      <c r="B205" s="32"/>
      <c r="C205" s="140"/>
      <c r="D205" s="140"/>
      <c r="E205" s="22"/>
      <c r="F205" s="22"/>
      <c r="G205" s="22"/>
      <c r="H205" s="22"/>
      <c r="I205" s="22"/>
      <c r="J205" s="22"/>
      <c r="K205" s="30"/>
      <c r="L205" s="33"/>
      <c r="M205" s="30"/>
      <c r="N205" s="30"/>
      <c r="O205" s="30"/>
      <c r="P205" s="30"/>
      <c r="Q205" s="30"/>
      <c r="R205" s="33"/>
      <c r="S205" s="30"/>
      <c r="T205" s="30"/>
      <c r="U205" s="30"/>
      <c r="V205" s="30"/>
      <c r="W205" s="30"/>
      <c r="X205" s="33"/>
    </row>
    <row r="206" spans="1:24" ht="18" customHeight="1">
      <c r="A206" s="22"/>
      <c r="B206" s="32"/>
      <c r="C206" s="140"/>
      <c r="D206" s="140"/>
      <c r="E206" s="22"/>
      <c r="F206" s="22"/>
      <c r="G206" s="22"/>
      <c r="H206" s="22"/>
      <c r="I206" s="22"/>
      <c r="J206" s="22"/>
      <c r="K206" s="30"/>
      <c r="L206" s="33"/>
      <c r="M206" s="30"/>
      <c r="N206" s="30"/>
      <c r="O206" s="30"/>
      <c r="P206" s="30"/>
      <c r="Q206" s="30"/>
      <c r="R206" s="33"/>
      <c r="S206" s="30"/>
      <c r="T206" s="30"/>
      <c r="U206" s="30"/>
      <c r="V206" s="30"/>
      <c r="W206" s="30"/>
      <c r="X206" s="33"/>
    </row>
    <row r="207" spans="1:24" ht="18" customHeight="1">
      <c r="A207" s="22"/>
      <c r="B207" s="32"/>
      <c r="C207" s="140"/>
      <c r="D207" s="140"/>
      <c r="E207" s="22"/>
      <c r="F207" s="22"/>
      <c r="G207" s="22"/>
      <c r="H207" s="22"/>
      <c r="I207" s="22"/>
      <c r="J207" s="22"/>
      <c r="K207" s="30"/>
      <c r="L207" s="33"/>
      <c r="M207" s="30"/>
      <c r="N207" s="30"/>
      <c r="O207" s="30"/>
      <c r="P207" s="30"/>
      <c r="Q207" s="30"/>
      <c r="R207" s="33"/>
      <c r="S207" s="30"/>
      <c r="T207" s="30"/>
      <c r="U207" s="30"/>
      <c r="V207" s="30"/>
      <c r="W207" s="30"/>
      <c r="X207" s="33"/>
    </row>
    <row r="208" spans="1:24" ht="18" customHeight="1">
      <c r="A208" s="22"/>
      <c r="B208" s="32"/>
      <c r="C208" s="140"/>
      <c r="D208" s="140"/>
      <c r="E208" s="22"/>
      <c r="F208" s="22"/>
      <c r="G208" s="22"/>
      <c r="H208" s="22"/>
      <c r="I208" s="22"/>
      <c r="J208" s="22"/>
      <c r="K208" s="30"/>
      <c r="L208" s="33"/>
      <c r="M208" s="30"/>
      <c r="N208" s="30"/>
      <c r="O208" s="30"/>
      <c r="P208" s="30"/>
      <c r="Q208" s="30"/>
      <c r="R208" s="33"/>
      <c r="S208" s="30"/>
      <c r="T208" s="30"/>
      <c r="U208" s="30"/>
      <c r="V208" s="30"/>
      <c r="W208" s="30"/>
      <c r="X208" s="33"/>
    </row>
    <row r="209" spans="1:24" ht="18" customHeight="1">
      <c r="A209" s="22"/>
      <c r="B209" s="32"/>
      <c r="C209" s="140"/>
      <c r="D209" s="140"/>
      <c r="E209" s="22"/>
      <c r="F209" s="22"/>
      <c r="G209" s="22"/>
      <c r="H209" s="22"/>
      <c r="I209" s="22"/>
      <c r="J209" s="22"/>
      <c r="K209" s="30"/>
      <c r="L209" s="33"/>
      <c r="M209" s="30"/>
      <c r="N209" s="30"/>
      <c r="O209" s="30"/>
      <c r="P209" s="30"/>
      <c r="Q209" s="30"/>
      <c r="R209" s="33"/>
      <c r="S209" s="30"/>
      <c r="T209" s="30"/>
      <c r="U209" s="30"/>
      <c r="V209" s="30"/>
      <c r="W209" s="30"/>
      <c r="X209" s="33"/>
    </row>
    <row r="210" spans="1:24" ht="18" customHeight="1">
      <c r="A210" s="22"/>
      <c r="B210" s="32"/>
      <c r="C210" s="140"/>
      <c r="D210" s="140"/>
      <c r="E210" s="22"/>
      <c r="F210" s="22"/>
      <c r="G210" s="22"/>
      <c r="H210" s="22"/>
      <c r="I210" s="22"/>
      <c r="J210" s="22"/>
      <c r="K210" s="30"/>
      <c r="L210" s="33"/>
      <c r="M210" s="30"/>
      <c r="N210" s="30"/>
      <c r="O210" s="30"/>
      <c r="P210" s="30"/>
      <c r="Q210" s="30"/>
      <c r="R210" s="33"/>
      <c r="S210" s="30"/>
      <c r="T210" s="30"/>
      <c r="U210" s="30"/>
      <c r="V210" s="30"/>
      <c r="W210" s="30"/>
      <c r="X210" s="33"/>
    </row>
    <row r="211" spans="1:24" ht="18" customHeight="1">
      <c r="A211" s="22"/>
      <c r="B211" s="32"/>
      <c r="C211" s="140"/>
      <c r="D211" s="140"/>
      <c r="E211" s="22"/>
      <c r="F211" s="22"/>
      <c r="G211" s="22"/>
      <c r="H211" s="22"/>
      <c r="I211" s="22"/>
      <c r="J211" s="22"/>
      <c r="K211" s="30"/>
      <c r="L211" s="33"/>
      <c r="M211" s="30"/>
      <c r="N211" s="30"/>
      <c r="O211" s="30"/>
      <c r="P211" s="30"/>
      <c r="Q211" s="30"/>
      <c r="R211" s="33"/>
      <c r="S211" s="30"/>
      <c r="T211" s="30"/>
      <c r="U211" s="30"/>
      <c r="V211" s="30"/>
      <c r="W211" s="30"/>
      <c r="X211" s="33"/>
    </row>
    <row r="212" spans="1:24" ht="18" customHeight="1">
      <c r="A212" s="22"/>
      <c r="B212" s="32"/>
      <c r="C212" s="140"/>
      <c r="D212" s="140"/>
      <c r="E212" s="22"/>
      <c r="F212" s="22"/>
      <c r="G212" s="22"/>
      <c r="H212" s="22"/>
      <c r="I212" s="22"/>
      <c r="J212" s="22"/>
      <c r="K212" s="30"/>
      <c r="L212" s="33"/>
      <c r="M212" s="30"/>
      <c r="N212" s="30"/>
      <c r="O212" s="30"/>
      <c r="P212" s="30"/>
      <c r="Q212" s="30"/>
      <c r="R212" s="33"/>
      <c r="S212" s="30"/>
      <c r="T212" s="30"/>
      <c r="U212" s="30"/>
      <c r="V212" s="30"/>
      <c r="W212" s="30"/>
      <c r="X212" s="33"/>
    </row>
    <row r="213" spans="1:24" ht="18" customHeight="1">
      <c r="A213" s="22"/>
      <c r="B213" s="32"/>
      <c r="C213" s="140"/>
      <c r="D213" s="140"/>
      <c r="E213" s="22"/>
      <c r="F213" s="22"/>
      <c r="G213" s="22"/>
      <c r="H213" s="22"/>
      <c r="I213" s="22"/>
      <c r="J213" s="22"/>
      <c r="K213" s="30"/>
      <c r="L213" s="33"/>
      <c r="M213" s="30"/>
      <c r="N213" s="30"/>
      <c r="O213" s="30"/>
      <c r="P213" s="30"/>
      <c r="Q213" s="30"/>
      <c r="R213" s="33"/>
      <c r="S213" s="30"/>
      <c r="T213" s="30"/>
      <c r="U213" s="30"/>
      <c r="V213" s="30"/>
      <c r="W213" s="30"/>
      <c r="X213" s="33"/>
    </row>
    <row r="214" spans="1:24" ht="18" customHeight="1">
      <c r="A214" s="22"/>
      <c r="B214" s="32"/>
      <c r="C214" s="140"/>
      <c r="D214" s="140"/>
      <c r="E214" s="22"/>
      <c r="F214" s="22"/>
      <c r="G214" s="22"/>
      <c r="H214" s="22"/>
      <c r="I214" s="22"/>
      <c r="J214" s="22"/>
      <c r="K214" s="30"/>
      <c r="L214" s="33"/>
      <c r="M214" s="30"/>
      <c r="N214" s="30"/>
      <c r="O214" s="30"/>
      <c r="P214" s="30"/>
      <c r="Q214" s="30"/>
      <c r="R214" s="33"/>
      <c r="S214" s="30"/>
      <c r="T214" s="30"/>
      <c r="U214" s="30"/>
      <c r="V214" s="30"/>
      <c r="W214" s="30"/>
      <c r="X214" s="33"/>
    </row>
    <row r="215" spans="1:24" ht="18" customHeight="1">
      <c r="A215" s="22"/>
      <c r="B215" s="32"/>
      <c r="C215" s="140"/>
      <c r="D215" s="140"/>
      <c r="E215" s="22"/>
      <c r="F215" s="22"/>
      <c r="G215" s="22"/>
      <c r="H215" s="22"/>
      <c r="I215" s="22"/>
      <c r="J215" s="22"/>
      <c r="K215" s="30"/>
      <c r="L215" s="33"/>
      <c r="M215" s="30"/>
      <c r="N215" s="30"/>
      <c r="O215" s="30"/>
      <c r="P215" s="30"/>
      <c r="Q215" s="30"/>
      <c r="R215" s="33"/>
      <c r="S215" s="30"/>
      <c r="T215" s="30"/>
      <c r="U215" s="30"/>
      <c r="V215" s="30"/>
      <c r="W215" s="30"/>
      <c r="X215" s="33"/>
    </row>
    <row r="216" spans="1:24" ht="18" customHeight="1">
      <c r="A216" s="22"/>
      <c r="B216" s="32"/>
      <c r="C216" s="140"/>
      <c r="D216" s="140"/>
      <c r="E216" s="22"/>
      <c r="F216" s="22"/>
      <c r="G216" s="22"/>
      <c r="H216" s="22"/>
      <c r="I216" s="22"/>
      <c r="J216" s="22"/>
      <c r="K216" s="30"/>
      <c r="L216" s="33"/>
      <c r="M216" s="30"/>
      <c r="N216" s="30"/>
      <c r="O216" s="30"/>
      <c r="P216" s="30"/>
      <c r="Q216" s="30"/>
      <c r="R216" s="33"/>
      <c r="S216" s="30"/>
      <c r="T216" s="30"/>
      <c r="U216" s="30"/>
      <c r="V216" s="30"/>
      <c r="W216" s="30"/>
      <c r="X216" s="33"/>
    </row>
    <row r="217" spans="1:24" ht="18" customHeight="1">
      <c r="A217" s="22"/>
      <c r="B217" s="32"/>
      <c r="C217" s="140"/>
      <c r="D217" s="140"/>
      <c r="E217" s="22"/>
      <c r="F217" s="22"/>
      <c r="G217" s="22"/>
      <c r="H217" s="22"/>
      <c r="I217" s="22"/>
      <c r="J217" s="22"/>
      <c r="K217" s="30"/>
      <c r="L217" s="33"/>
      <c r="M217" s="30"/>
      <c r="N217" s="30"/>
      <c r="O217" s="30"/>
      <c r="P217" s="30"/>
      <c r="Q217" s="30"/>
      <c r="R217" s="33"/>
      <c r="S217" s="30"/>
      <c r="T217" s="30"/>
      <c r="U217" s="30"/>
      <c r="V217" s="30"/>
      <c r="W217" s="30"/>
      <c r="X217" s="33"/>
    </row>
    <row r="218" spans="1:24" ht="18" customHeight="1">
      <c r="A218" s="22"/>
      <c r="B218" s="32"/>
      <c r="C218" s="140"/>
      <c r="D218" s="140"/>
      <c r="E218" s="22"/>
      <c r="F218" s="22"/>
      <c r="G218" s="22"/>
      <c r="H218" s="22"/>
      <c r="I218" s="22"/>
      <c r="J218" s="22"/>
      <c r="K218" s="30"/>
      <c r="L218" s="33"/>
      <c r="M218" s="30"/>
      <c r="N218" s="30"/>
      <c r="O218" s="30"/>
      <c r="P218" s="30"/>
      <c r="Q218" s="30"/>
      <c r="R218" s="33"/>
      <c r="S218" s="30"/>
      <c r="T218" s="30"/>
      <c r="U218" s="30"/>
      <c r="V218" s="30"/>
      <c r="W218" s="30"/>
      <c r="X218" s="33"/>
    </row>
    <row r="219" spans="1:24" ht="18" customHeight="1">
      <c r="A219" s="22"/>
      <c r="B219" s="32"/>
      <c r="C219" s="140"/>
      <c r="D219" s="140"/>
      <c r="E219" s="22"/>
      <c r="F219" s="22"/>
      <c r="G219" s="22"/>
      <c r="H219" s="22"/>
      <c r="I219" s="22"/>
      <c r="J219" s="22"/>
      <c r="K219" s="30"/>
      <c r="L219" s="33"/>
      <c r="M219" s="30"/>
      <c r="N219" s="30"/>
      <c r="O219" s="30"/>
      <c r="P219" s="30"/>
      <c r="Q219" s="30"/>
      <c r="R219" s="33"/>
      <c r="S219" s="30"/>
      <c r="T219" s="30"/>
      <c r="U219" s="30"/>
      <c r="V219" s="30"/>
      <c r="W219" s="30"/>
      <c r="X219" s="33"/>
    </row>
    <row r="220" spans="1:24" ht="18" customHeight="1">
      <c r="A220" s="22"/>
      <c r="B220" s="32"/>
      <c r="C220" s="140"/>
      <c r="D220" s="140"/>
      <c r="E220" s="22"/>
      <c r="F220" s="22"/>
      <c r="G220" s="22"/>
      <c r="H220" s="22"/>
      <c r="I220" s="22"/>
      <c r="J220" s="22"/>
      <c r="K220" s="30"/>
      <c r="L220" s="33"/>
      <c r="M220" s="30"/>
      <c r="N220" s="30"/>
      <c r="O220" s="30"/>
      <c r="P220" s="30"/>
      <c r="Q220" s="30"/>
      <c r="R220" s="33"/>
      <c r="S220" s="30"/>
      <c r="T220" s="30"/>
      <c r="U220" s="30"/>
      <c r="V220" s="30"/>
      <c r="W220" s="30"/>
      <c r="X220" s="33"/>
    </row>
    <row r="221" spans="1:24" ht="18" customHeight="1">
      <c r="A221" s="22"/>
      <c r="B221" s="32"/>
      <c r="C221" s="140"/>
      <c r="D221" s="140"/>
      <c r="E221" s="22"/>
      <c r="F221" s="22"/>
      <c r="G221" s="22"/>
      <c r="H221" s="22"/>
      <c r="I221" s="22"/>
      <c r="J221" s="22"/>
      <c r="K221" s="30"/>
      <c r="L221" s="33"/>
      <c r="M221" s="30"/>
      <c r="N221" s="30"/>
      <c r="O221" s="30"/>
      <c r="P221" s="30"/>
      <c r="Q221" s="30"/>
      <c r="R221" s="33"/>
      <c r="S221" s="30"/>
      <c r="T221" s="30"/>
      <c r="U221" s="30"/>
      <c r="V221" s="30"/>
      <c r="W221" s="30"/>
      <c r="X221" s="33"/>
    </row>
    <row r="222" spans="1:24" ht="18" customHeight="1">
      <c r="A222" s="22"/>
      <c r="B222" s="32"/>
      <c r="C222" s="140"/>
      <c r="D222" s="140"/>
      <c r="E222" s="22"/>
      <c r="F222" s="22"/>
      <c r="G222" s="22"/>
      <c r="H222" s="22"/>
      <c r="I222" s="22"/>
      <c r="J222" s="22"/>
      <c r="K222" s="30"/>
      <c r="L222" s="33"/>
      <c r="M222" s="30"/>
      <c r="N222" s="30"/>
      <c r="O222" s="30"/>
      <c r="P222" s="30"/>
      <c r="Q222" s="30"/>
      <c r="R222" s="33"/>
      <c r="S222" s="30"/>
      <c r="T222" s="30"/>
      <c r="U222" s="30"/>
      <c r="V222" s="30"/>
      <c r="W222" s="30"/>
      <c r="X222" s="33"/>
    </row>
    <row r="223" spans="1:24" ht="18" customHeight="1">
      <c r="A223" s="22"/>
      <c r="B223" s="32"/>
      <c r="C223" s="140"/>
      <c r="D223" s="140"/>
      <c r="E223" s="22"/>
      <c r="F223" s="22"/>
      <c r="G223" s="22"/>
      <c r="H223" s="22"/>
      <c r="I223" s="22"/>
      <c r="J223" s="22"/>
      <c r="K223" s="30"/>
      <c r="L223" s="33"/>
      <c r="M223" s="30"/>
      <c r="N223" s="30"/>
      <c r="O223" s="30"/>
      <c r="P223" s="30"/>
      <c r="Q223" s="30"/>
      <c r="R223" s="33"/>
      <c r="S223" s="30"/>
      <c r="T223" s="30"/>
      <c r="U223" s="30"/>
      <c r="V223" s="30"/>
      <c r="W223" s="30"/>
      <c r="X223" s="33"/>
    </row>
    <row r="224" spans="1:24" ht="18" customHeight="1">
      <c r="A224" s="22"/>
      <c r="B224" s="32"/>
      <c r="C224" s="140"/>
      <c r="D224" s="140"/>
      <c r="E224" s="22"/>
      <c r="F224" s="22"/>
      <c r="G224" s="22"/>
      <c r="H224" s="22"/>
      <c r="I224" s="22"/>
      <c r="J224" s="22"/>
      <c r="K224" s="30"/>
      <c r="L224" s="33"/>
      <c r="M224" s="30"/>
      <c r="N224" s="30"/>
      <c r="O224" s="30"/>
      <c r="P224" s="30"/>
      <c r="Q224" s="30"/>
      <c r="R224" s="33"/>
      <c r="S224" s="30"/>
      <c r="T224" s="30"/>
      <c r="U224" s="30"/>
      <c r="V224" s="30"/>
      <c r="W224" s="30"/>
      <c r="X224" s="33"/>
    </row>
    <row r="225" spans="1:24" ht="18" customHeight="1">
      <c r="A225" s="22"/>
      <c r="B225" s="32"/>
      <c r="C225" s="140"/>
      <c r="D225" s="140"/>
      <c r="E225" s="22"/>
      <c r="F225" s="22"/>
      <c r="G225" s="22"/>
      <c r="H225" s="22"/>
      <c r="I225" s="22"/>
      <c r="J225" s="22"/>
      <c r="K225" s="30"/>
      <c r="L225" s="33"/>
      <c r="M225" s="30"/>
      <c r="N225" s="30"/>
      <c r="O225" s="30"/>
      <c r="P225" s="30"/>
      <c r="Q225" s="30"/>
      <c r="R225" s="33"/>
      <c r="S225" s="30"/>
      <c r="T225" s="30"/>
      <c r="U225" s="30"/>
      <c r="V225" s="30"/>
      <c r="W225" s="30"/>
      <c r="X225" s="33"/>
    </row>
    <row r="226" spans="1:24" ht="18" customHeight="1">
      <c r="A226" s="22"/>
      <c r="B226" s="32"/>
      <c r="C226" s="140"/>
      <c r="D226" s="140"/>
      <c r="E226" s="22"/>
      <c r="F226" s="22"/>
      <c r="G226" s="22"/>
      <c r="H226" s="22"/>
      <c r="I226" s="22"/>
      <c r="J226" s="22"/>
      <c r="K226" s="30"/>
      <c r="L226" s="33"/>
      <c r="M226" s="30"/>
      <c r="N226" s="30"/>
      <c r="O226" s="30"/>
      <c r="P226" s="30"/>
      <c r="Q226" s="30"/>
      <c r="R226" s="33"/>
      <c r="S226" s="30"/>
      <c r="T226" s="30"/>
      <c r="U226" s="30"/>
      <c r="V226" s="30"/>
      <c r="W226" s="30"/>
      <c r="X226" s="33"/>
    </row>
    <row r="227" spans="1:24" ht="18" customHeight="1">
      <c r="A227" s="22"/>
      <c r="B227" s="32"/>
      <c r="C227" s="140"/>
      <c r="D227" s="140"/>
      <c r="E227" s="22"/>
      <c r="F227" s="22"/>
      <c r="G227" s="22"/>
      <c r="H227" s="22"/>
      <c r="I227" s="22"/>
      <c r="J227" s="22"/>
      <c r="K227" s="30"/>
      <c r="L227" s="33"/>
      <c r="M227" s="30"/>
      <c r="N227" s="30"/>
      <c r="O227" s="30"/>
      <c r="P227" s="30"/>
      <c r="Q227" s="30"/>
      <c r="R227" s="33"/>
      <c r="S227" s="30"/>
      <c r="T227" s="30"/>
      <c r="U227" s="30"/>
      <c r="V227" s="30"/>
      <c r="W227" s="30"/>
      <c r="X227" s="33"/>
    </row>
    <row r="228" spans="1:24" ht="18" customHeight="1">
      <c r="A228" s="22"/>
      <c r="B228" s="32"/>
      <c r="C228" s="140"/>
      <c r="D228" s="140"/>
      <c r="E228" s="22"/>
      <c r="F228" s="22"/>
      <c r="G228" s="22"/>
      <c r="H228" s="22"/>
      <c r="I228" s="22"/>
      <c r="J228" s="22"/>
      <c r="K228" s="30"/>
      <c r="L228" s="33"/>
      <c r="M228" s="30"/>
      <c r="N228" s="30"/>
      <c r="O228" s="30"/>
      <c r="P228" s="30"/>
      <c r="Q228" s="30"/>
      <c r="R228" s="33"/>
      <c r="S228" s="30"/>
      <c r="T228" s="30"/>
      <c r="U228" s="30"/>
      <c r="V228" s="30"/>
      <c r="W228" s="30"/>
      <c r="X228" s="33"/>
    </row>
    <row r="229" spans="1:24" ht="18" customHeight="1">
      <c r="A229" s="22"/>
      <c r="B229" s="32"/>
      <c r="C229" s="140"/>
      <c r="D229" s="140"/>
      <c r="E229" s="22"/>
      <c r="F229" s="22"/>
      <c r="G229" s="22"/>
      <c r="H229" s="22"/>
      <c r="I229" s="22"/>
      <c r="J229" s="22"/>
      <c r="K229" s="30"/>
      <c r="L229" s="33"/>
      <c r="M229" s="30"/>
      <c r="N229" s="30"/>
      <c r="O229" s="30"/>
      <c r="P229" s="30"/>
      <c r="Q229" s="30"/>
      <c r="R229" s="33"/>
      <c r="S229" s="30"/>
      <c r="T229" s="30"/>
      <c r="U229" s="30"/>
      <c r="V229" s="30"/>
      <c r="W229" s="30"/>
      <c r="X229" s="33"/>
    </row>
    <row r="230" spans="1:24" ht="18" customHeight="1">
      <c r="A230" s="22"/>
      <c r="B230" s="32"/>
      <c r="C230" s="140"/>
      <c r="D230" s="140"/>
      <c r="E230" s="22"/>
      <c r="F230" s="22"/>
      <c r="G230" s="22"/>
      <c r="H230" s="22"/>
      <c r="I230" s="22"/>
      <c r="J230" s="22"/>
      <c r="K230" s="30"/>
      <c r="L230" s="33"/>
      <c r="M230" s="30"/>
      <c r="N230" s="30"/>
      <c r="O230" s="30"/>
      <c r="P230" s="30"/>
      <c r="Q230" s="30"/>
      <c r="R230" s="33"/>
      <c r="S230" s="30"/>
      <c r="T230" s="30"/>
      <c r="U230" s="30"/>
      <c r="V230" s="30"/>
      <c r="W230" s="30"/>
      <c r="X230" s="33"/>
    </row>
    <row r="231" spans="1:24" ht="18" customHeight="1">
      <c r="A231" s="22"/>
      <c r="B231" s="32"/>
      <c r="C231" s="140"/>
      <c r="D231" s="140"/>
      <c r="E231" s="22"/>
      <c r="F231" s="22"/>
      <c r="G231" s="22"/>
      <c r="H231" s="22"/>
      <c r="I231" s="22"/>
      <c r="J231" s="22"/>
      <c r="K231" s="30"/>
      <c r="L231" s="33"/>
      <c r="M231" s="30"/>
      <c r="N231" s="30"/>
      <c r="O231" s="30"/>
      <c r="P231" s="30"/>
      <c r="Q231" s="30"/>
      <c r="R231" s="33"/>
      <c r="S231" s="30"/>
      <c r="T231" s="30"/>
      <c r="U231" s="30"/>
      <c r="V231" s="30"/>
      <c r="W231" s="30"/>
      <c r="X231" s="33"/>
    </row>
    <row r="232" spans="1:24" ht="18" customHeight="1">
      <c r="A232" s="22"/>
      <c r="B232" s="32"/>
      <c r="C232" s="140"/>
      <c r="D232" s="140"/>
      <c r="E232" s="22"/>
      <c r="F232" s="22"/>
      <c r="G232" s="22"/>
      <c r="H232" s="22"/>
      <c r="I232" s="22"/>
      <c r="J232" s="22"/>
      <c r="K232" s="30"/>
      <c r="L232" s="33"/>
      <c r="M232" s="30"/>
      <c r="N232" s="30"/>
      <c r="O232" s="30"/>
      <c r="P232" s="30"/>
      <c r="Q232" s="30"/>
      <c r="R232" s="33"/>
      <c r="S232" s="30"/>
      <c r="T232" s="30"/>
      <c r="U232" s="30"/>
      <c r="V232" s="30"/>
      <c r="W232" s="30"/>
      <c r="X232" s="33"/>
    </row>
    <row r="233" spans="1:24" ht="18" customHeight="1">
      <c r="A233" s="22"/>
      <c r="B233" s="32"/>
      <c r="C233" s="140"/>
      <c r="D233" s="140"/>
      <c r="E233" s="22"/>
      <c r="F233" s="22"/>
      <c r="G233" s="22"/>
      <c r="H233" s="22"/>
      <c r="I233" s="22"/>
      <c r="J233" s="22"/>
      <c r="K233" s="30"/>
      <c r="L233" s="33"/>
      <c r="M233" s="30"/>
      <c r="N233" s="30"/>
      <c r="O233" s="30"/>
      <c r="P233" s="30"/>
      <c r="Q233" s="30"/>
      <c r="R233" s="33"/>
      <c r="S233" s="30"/>
      <c r="T233" s="30"/>
      <c r="U233" s="30"/>
      <c r="V233" s="30"/>
      <c r="W233" s="30"/>
      <c r="X233" s="33"/>
    </row>
    <row r="234" spans="1:24" ht="18" customHeight="1">
      <c r="A234" s="22"/>
      <c r="B234" s="32"/>
      <c r="C234" s="140"/>
      <c r="D234" s="140"/>
      <c r="E234" s="22"/>
      <c r="F234" s="22"/>
      <c r="G234" s="22"/>
      <c r="H234" s="22"/>
      <c r="I234" s="22"/>
      <c r="J234" s="22"/>
      <c r="K234" s="30"/>
      <c r="L234" s="33"/>
      <c r="M234" s="30"/>
      <c r="N234" s="30"/>
      <c r="O234" s="30"/>
      <c r="P234" s="30"/>
      <c r="Q234" s="30"/>
      <c r="R234" s="33"/>
      <c r="S234" s="30"/>
      <c r="T234" s="30"/>
      <c r="U234" s="30"/>
      <c r="V234" s="30"/>
      <c r="W234" s="30"/>
      <c r="X234" s="33"/>
    </row>
    <row r="235" spans="1:24" ht="18" customHeight="1">
      <c r="A235" s="22"/>
      <c r="B235" s="32"/>
      <c r="C235" s="140"/>
      <c r="D235" s="140"/>
      <c r="E235" s="22"/>
      <c r="F235" s="22"/>
      <c r="G235" s="22"/>
      <c r="H235" s="22"/>
      <c r="I235" s="22"/>
      <c r="J235" s="22"/>
      <c r="K235" s="30"/>
      <c r="L235" s="33"/>
      <c r="M235" s="30"/>
      <c r="N235" s="30"/>
      <c r="O235" s="30"/>
      <c r="P235" s="30"/>
      <c r="Q235" s="30"/>
      <c r="R235" s="33"/>
      <c r="S235" s="30"/>
      <c r="T235" s="30"/>
      <c r="U235" s="30"/>
      <c r="V235" s="30"/>
      <c r="W235" s="30"/>
      <c r="X235" s="33"/>
    </row>
    <row r="236" spans="1:24" ht="18" customHeight="1">
      <c r="A236" s="22"/>
      <c r="B236" s="32"/>
      <c r="C236" s="140"/>
      <c r="D236" s="140"/>
      <c r="E236" s="22"/>
      <c r="F236" s="22"/>
      <c r="G236" s="22"/>
      <c r="H236" s="22"/>
      <c r="I236" s="22"/>
      <c r="J236" s="22"/>
      <c r="K236" s="30"/>
      <c r="L236" s="33"/>
      <c r="M236" s="30"/>
      <c r="N236" s="30"/>
      <c r="O236" s="30"/>
      <c r="P236" s="30"/>
      <c r="Q236" s="30"/>
      <c r="R236" s="33"/>
      <c r="S236" s="30"/>
      <c r="T236" s="30"/>
      <c r="U236" s="30"/>
      <c r="V236" s="30"/>
      <c r="W236" s="30"/>
      <c r="X236" s="33"/>
    </row>
    <row r="237" spans="1:24" ht="18" customHeight="1">
      <c r="A237" s="22"/>
      <c r="B237" s="32"/>
      <c r="C237" s="140"/>
      <c r="D237" s="140"/>
      <c r="E237" s="22"/>
      <c r="F237" s="22"/>
      <c r="G237" s="22"/>
      <c r="H237" s="22"/>
      <c r="I237" s="22"/>
      <c r="J237" s="22"/>
      <c r="K237" s="30"/>
      <c r="L237" s="33"/>
      <c r="M237" s="30"/>
      <c r="N237" s="30"/>
      <c r="O237" s="30"/>
      <c r="P237" s="30"/>
      <c r="Q237" s="30"/>
      <c r="R237" s="33"/>
      <c r="S237" s="30"/>
      <c r="T237" s="30"/>
      <c r="U237" s="30"/>
      <c r="V237" s="30"/>
      <c r="W237" s="30"/>
      <c r="X237" s="33"/>
    </row>
    <row r="238" spans="1:24" ht="18" customHeight="1">
      <c r="A238" s="22"/>
      <c r="B238" s="32"/>
      <c r="C238" s="140"/>
      <c r="D238" s="140"/>
      <c r="E238" s="22"/>
      <c r="F238" s="22"/>
      <c r="G238" s="22"/>
      <c r="H238" s="22"/>
      <c r="I238" s="22"/>
      <c r="J238" s="22"/>
      <c r="K238" s="30"/>
      <c r="L238" s="33"/>
      <c r="M238" s="30"/>
      <c r="N238" s="30"/>
      <c r="O238" s="30"/>
      <c r="P238" s="30"/>
      <c r="Q238" s="30"/>
      <c r="R238" s="33"/>
      <c r="S238" s="30"/>
      <c r="T238" s="30"/>
      <c r="U238" s="30"/>
      <c r="V238" s="30"/>
      <c r="W238" s="30"/>
      <c r="X238" s="33"/>
    </row>
    <row r="239" spans="1:24" ht="18" customHeight="1">
      <c r="A239" s="22"/>
      <c r="B239" s="32"/>
      <c r="C239" s="140"/>
      <c r="D239" s="140"/>
      <c r="E239" s="22"/>
      <c r="F239" s="22"/>
      <c r="G239" s="22"/>
      <c r="H239" s="22"/>
      <c r="I239" s="22"/>
      <c r="J239" s="22"/>
      <c r="K239" s="30"/>
      <c r="L239" s="33"/>
      <c r="M239" s="30"/>
      <c r="N239" s="30"/>
      <c r="O239" s="30"/>
      <c r="P239" s="30"/>
      <c r="Q239" s="30"/>
      <c r="R239" s="33"/>
      <c r="S239" s="30"/>
      <c r="T239" s="30"/>
      <c r="U239" s="30"/>
      <c r="V239" s="30"/>
      <c r="W239" s="30"/>
      <c r="X239" s="33"/>
    </row>
    <row r="240" spans="1:24" ht="18" customHeight="1">
      <c r="A240" s="22"/>
      <c r="B240" s="32"/>
      <c r="C240" s="140"/>
      <c r="D240" s="140"/>
      <c r="E240" s="22"/>
      <c r="F240" s="22"/>
      <c r="G240" s="22"/>
      <c r="H240" s="22"/>
      <c r="I240" s="22"/>
      <c r="J240" s="22"/>
      <c r="K240" s="30"/>
      <c r="L240" s="33"/>
      <c r="M240" s="30"/>
      <c r="N240" s="30"/>
      <c r="O240" s="30"/>
      <c r="P240" s="30"/>
      <c r="Q240" s="30"/>
      <c r="R240" s="33"/>
      <c r="S240" s="30"/>
      <c r="T240" s="30"/>
      <c r="U240" s="30"/>
      <c r="V240" s="30"/>
      <c r="W240" s="30"/>
      <c r="X240" s="33"/>
    </row>
    <row r="241" spans="1:24" ht="18" customHeight="1">
      <c r="A241" s="22"/>
      <c r="B241" s="32"/>
      <c r="C241" s="140"/>
      <c r="D241" s="140"/>
      <c r="E241" s="22"/>
      <c r="F241" s="22"/>
      <c r="G241" s="22"/>
      <c r="H241" s="22"/>
      <c r="I241" s="22"/>
      <c r="J241" s="22"/>
      <c r="K241" s="30"/>
      <c r="L241" s="33"/>
      <c r="M241" s="30"/>
      <c r="N241" s="30"/>
      <c r="O241" s="30"/>
      <c r="P241" s="30"/>
      <c r="Q241" s="30"/>
      <c r="R241" s="33"/>
      <c r="S241" s="30"/>
      <c r="T241" s="30"/>
      <c r="U241" s="30"/>
      <c r="V241" s="30"/>
      <c r="W241" s="30"/>
      <c r="X241" s="33"/>
    </row>
    <row r="242" spans="1:24" ht="18" customHeight="1">
      <c r="A242" s="22"/>
      <c r="B242" s="32"/>
      <c r="C242" s="140"/>
      <c r="D242" s="140"/>
      <c r="E242" s="22"/>
      <c r="F242" s="22"/>
      <c r="G242" s="22"/>
      <c r="H242" s="22"/>
      <c r="I242" s="22"/>
      <c r="J242" s="22"/>
      <c r="K242" s="30"/>
      <c r="L242" s="33"/>
      <c r="M242" s="30"/>
      <c r="N242" s="30"/>
      <c r="O242" s="30"/>
      <c r="P242" s="30"/>
      <c r="Q242" s="30"/>
      <c r="R242" s="33"/>
      <c r="S242" s="30"/>
      <c r="T242" s="30"/>
      <c r="U242" s="30"/>
      <c r="V242" s="30"/>
      <c r="W242" s="30"/>
      <c r="X242" s="33"/>
    </row>
    <row r="243" spans="1:24" ht="18" customHeight="1">
      <c r="A243" s="22"/>
      <c r="B243" s="32"/>
      <c r="C243" s="140"/>
      <c r="D243" s="140"/>
      <c r="E243" s="22"/>
      <c r="F243" s="22"/>
      <c r="G243" s="22"/>
      <c r="H243" s="22"/>
      <c r="I243" s="22"/>
      <c r="J243" s="22"/>
      <c r="K243" s="30"/>
      <c r="L243" s="33"/>
      <c r="M243" s="30"/>
      <c r="N243" s="30"/>
      <c r="O243" s="30"/>
      <c r="P243" s="30"/>
      <c r="Q243" s="30"/>
      <c r="R243" s="33"/>
      <c r="S243" s="30"/>
      <c r="T243" s="30"/>
      <c r="U243" s="30"/>
      <c r="V243" s="30"/>
      <c r="W243" s="30"/>
      <c r="X243" s="33"/>
    </row>
    <row r="244" spans="1:24" ht="18" customHeight="1">
      <c r="A244" s="22"/>
      <c r="B244" s="32"/>
      <c r="C244" s="140"/>
      <c r="D244" s="140"/>
      <c r="E244" s="22"/>
      <c r="F244" s="22"/>
      <c r="G244" s="22"/>
      <c r="H244" s="22"/>
      <c r="I244" s="22"/>
      <c r="J244" s="22"/>
      <c r="K244" s="30"/>
      <c r="L244" s="33"/>
      <c r="M244" s="30"/>
      <c r="N244" s="30"/>
      <c r="O244" s="30"/>
      <c r="P244" s="30"/>
      <c r="Q244" s="30"/>
      <c r="R244" s="33"/>
      <c r="S244" s="30"/>
      <c r="T244" s="30"/>
      <c r="U244" s="30"/>
      <c r="V244" s="30"/>
      <c r="W244" s="30"/>
      <c r="X244" s="33"/>
    </row>
    <row r="245" spans="1:24" ht="18" customHeight="1">
      <c r="A245" s="22"/>
      <c r="B245" s="32"/>
      <c r="C245" s="140"/>
      <c r="D245" s="140"/>
      <c r="E245" s="22"/>
      <c r="F245" s="22"/>
      <c r="G245" s="22"/>
      <c r="H245" s="22"/>
      <c r="I245" s="22"/>
      <c r="J245" s="22"/>
      <c r="K245" s="30"/>
      <c r="L245" s="33"/>
      <c r="M245" s="30"/>
      <c r="N245" s="30"/>
      <c r="O245" s="30"/>
      <c r="P245" s="30"/>
      <c r="Q245" s="30"/>
      <c r="R245" s="33"/>
      <c r="S245" s="30"/>
      <c r="T245" s="30"/>
      <c r="U245" s="30"/>
      <c r="V245" s="30"/>
      <c r="W245" s="30"/>
      <c r="X245" s="33"/>
    </row>
    <row r="246" spans="1:24" ht="18" customHeight="1">
      <c r="A246" s="22"/>
      <c r="B246" s="32"/>
      <c r="C246" s="140"/>
      <c r="D246" s="140"/>
      <c r="E246" s="22"/>
      <c r="F246" s="22"/>
      <c r="G246" s="22"/>
      <c r="H246" s="22"/>
      <c r="I246" s="22"/>
      <c r="J246" s="22"/>
      <c r="K246" s="30"/>
      <c r="L246" s="33"/>
      <c r="M246" s="30"/>
      <c r="N246" s="30"/>
      <c r="O246" s="30"/>
      <c r="P246" s="30"/>
      <c r="Q246" s="30"/>
      <c r="R246" s="33"/>
      <c r="S246" s="30"/>
      <c r="T246" s="30"/>
      <c r="U246" s="30"/>
      <c r="V246" s="30"/>
      <c r="W246" s="30"/>
      <c r="X246" s="33"/>
    </row>
    <row r="247" spans="1:24" ht="18" customHeight="1">
      <c r="A247" s="22"/>
      <c r="B247" s="32"/>
      <c r="C247" s="140"/>
      <c r="D247" s="140"/>
      <c r="E247" s="22"/>
      <c r="F247" s="22"/>
      <c r="G247" s="22"/>
      <c r="H247" s="22"/>
      <c r="I247" s="22"/>
      <c r="J247" s="22"/>
      <c r="K247" s="30"/>
      <c r="L247" s="33"/>
      <c r="M247" s="30"/>
      <c r="N247" s="30"/>
      <c r="O247" s="30"/>
      <c r="P247" s="30"/>
      <c r="Q247" s="30"/>
      <c r="R247" s="33"/>
      <c r="S247" s="30"/>
      <c r="T247" s="30"/>
      <c r="U247" s="30"/>
      <c r="V247" s="30"/>
      <c r="W247" s="30"/>
      <c r="X247" s="33"/>
    </row>
    <row r="248" spans="1:24" ht="18" customHeight="1">
      <c r="A248" s="22"/>
      <c r="B248" s="32"/>
      <c r="C248" s="140"/>
      <c r="D248" s="140"/>
      <c r="E248" s="22"/>
      <c r="F248" s="22"/>
      <c r="G248" s="22"/>
      <c r="H248" s="22"/>
      <c r="I248" s="22"/>
      <c r="J248" s="22"/>
      <c r="K248" s="30"/>
      <c r="L248" s="33"/>
      <c r="M248" s="30"/>
      <c r="N248" s="30"/>
      <c r="O248" s="30"/>
      <c r="P248" s="30"/>
      <c r="Q248" s="30"/>
      <c r="R248" s="33"/>
      <c r="S248" s="30"/>
      <c r="T248" s="30"/>
      <c r="U248" s="30"/>
      <c r="V248" s="30"/>
      <c r="W248" s="30"/>
      <c r="X248" s="33"/>
    </row>
  </sheetData>
  <phoneticPr fontId="8" type="noConversion"/>
  <printOptions horizontalCentered="1"/>
  <pageMargins left="0.39370078740157483" right="0.39370078740157483" top="0.39370078740157483" bottom="0.39370078740157483" header="0.19685039370078741" footer="0.19685039370078741"/>
  <pageSetup paperSize="9" scale="69" orientation="landscape" r:id="rId1"/>
  <headerFooter alignWithMargins="0">
    <oddFooter>&amp;C&amp;"Arial,標準"( &amp;P / &amp;N )</oddFooter>
  </headerFooter>
  <colBreaks count="1" manualBreakCount="1">
    <brk id="15" max="1048575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B1:S37"/>
  <sheetViews>
    <sheetView zoomScale="75" workbookViewId="0">
      <selection activeCell="P13" sqref="P13"/>
    </sheetView>
  </sheetViews>
  <sheetFormatPr defaultRowHeight="16.5"/>
  <cols>
    <col min="1" max="1" width="1.25" style="18" customWidth="1"/>
    <col min="2" max="2" width="4.625" style="18" hidden="1" customWidth="1"/>
    <col min="3" max="3" width="10.625" style="18" customWidth="1"/>
    <col min="4" max="4" width="20.625" style="18" customWidth="1"/>
    <col min="5" max="5" width="12.625" style="18" customWidth="1"/>
    <col min="6" max="6" width="4.625" style="18" customWidth="1"/>
    <col min="7" max="7" width="10.625" style="18" customWidth="1"/>
    <col min="8" max="8" width="20.625" style="18" customWidth="1"/>
    <col min="9" max="9" width="12.625" style="18" customWidth="1"/>
    <col min="10" max="10" width="4.625" style="18" customWidth="1"/>
    <col min="11" max="11" width="10.625" style="18" customWidth="1"/>
    <col min="12" max="12" width="20.625" style="18" customWidth="1"/>
    <col min="13" max="13" width="12.625" style="18" customWidth="1"/>
    <col min="14" max="14" width="4.625" style="18" customWidth="1"/>
    <col min="15" max="15" width="10.625" style="28" customWidth="1"/>
    <col min="16" max="16" width="20.625" style="28" customWidth="1"/>
    <col min="17" max="17" width="12.625" style="28" customWidth="1"/>
    <col min="18" max="19" width="9" style="28"/>
    <col min="20" max="16384" width="9" style="18"/>
  </cols>
  <sheetData>
    <row r="1" spans="3:19" ht="69.95" customHeight="1"/>
    <row r="2" spans="3:19" ht="12" customHeight="1"/>
    <row r="3" spans="3:19" ht="23.25" hidden="1" customHeight="1">
      <c r="C3" s="1"/>
    </row>
    <row r="4" spans="3:19" ht="16.5" hidden="1" customHeight="1"/>
    <row r="5" spans="3:19" ht="16.5" hidden="1" customHeight="1"/>
    <row r="6" spans="3:19" s="4" customFormat="1" ht="18" customHeight="1">
      <c r="C6" s="286" t="s">
        <v>24</v>
      </c>
      <c r="D6" s="288"/>
      <c r="E6" s="5"/>
      <c r="G6" s="286" t="s">
        <v>25</v>
      </c>
      <c r="H6" s="288"/>
      <c r="I6" s="5"/>
      <c r="K6" s="286" t="s">
        <v>288</v>
      </c>
      <c r="L6" s="288"/>
      <c r="O6" s="342"/>
      <c r="P6" s="342"/>
      <c r="Q6" s="2"/>
      <c r="R6" s="2"/>
      <c r="S6" s="2"/>
    </row>
    <row r="7" spans="3:19" s="4" customFormat="1" ht="18" customHeight="1">
      <c r="C7" s="286" t="str">
        <f>"Frame Array = 1X1 "</f>
        <v xml:space="preserve">Frame Array = 1X1 </v>
      </c>
      <c r="D7" s="288"/>
      <c r="E7" s="5"/>
      <c r="G7" s="286" t="str">
        <f>"Frame Array = 1X1 "</f>
        <v xml:space="preserve">Frame Array = 1X1 </v>
      </c>
      <c r="H7" s="341"/>
      <c r="I7" s="2"/>
      <c r="J7" s="2"/>
      <c r="K7" s="286" t="s">
        <v>289</v>
      </c>
      <c r="L7" s="341"/>
      <c r="N7" s="2"/>
      <c r="O7" s="342"/>
      <c r="P7" s="343"/>
      <c r="Q7" s="2"/>
      <c r="R7" s="2"/>
      <c r="S7" s="2"/>
    </row>
    <row r="8" spans="3:19" ht="18" customHeight="1">
      <c r="C8" s="24"/>
      <c r="D8" s="24"/>
      <c r="E8" s="24"/>
      <c r="F8" s="25"/>
      <c r="G8" s="24"/>
      <c r="H8" s="26"/>
      <c r="I8" s="26"/>
      <c r="J8" s="26"/>
      <c r="K8" s="24"/>
      <c r="L8" s="26"/>
      <c r="N8" s="26"/>
      <c r="O8" s="24"/>
      <c r="P8" s="26"/>
    </row>
    <row r="9" spans="3:19" ht="18" customHeight="1">
      <c r="C9" s="24"/>
      <c r="D9" s="24"/>
      <c r="E9" s="24"/>
      <c r="F9" s="25"/>
      <c r="G9" s="24"/>
      <c r="H9" s="26"/>
      <c r="I9" s="26"/>
      <c r="J9" s="26"/>
      <c r="K9" s="24"/>
      <c r="L9" s="26"/>
      <c r="N9" s="26"/>
      <c r="O9" s="24"/>
      <c r="P9" s="26"/>
    </row>
    <row r="10" spans="3:19" ht="18" customHeight="1">
      <c r="C10" s="24"/>
      <c r="D10" s="24"/>
      <c r="E10" s="24"/>
      <c r="F10" s="25"/>
      <c r="G10" s="24"/>
      <c r="H10" s="26"/>
      <c r="I10" s="26"/>
      <c r="J10" s="26"/>
      <c r="K10" s="24"/>
      <c r="L10" s="26"/>
      <c r="N10" s="26"/>
      <c r="O10" s="24"/>
      <c r="P10" s="26"/>
    </row>
    <row r="11" spans="3:19" ht="18" customHeight="1">
      <c r="C11" s="24"/>
      <c r="D11" s="24"/>
      <c r="E11" s="24"/>
      <c r="F11" s="25"/>
      <c r="G11" s="24"/>
      <c r="H11" s="26"/>
      <c r="I11" s="26"/>
      <c r="J11" s="26"/>
      <c r="K11" s="24"/>
      <c r="L11" s="26"/>
      <c r="N11" s="26"/>
      <c r="O11" s="24"/>
      <c r="P11" s="26"/>
    </row>
    <row r="12" spans="3:19" ht="18" customHeight="1">
      <c r="C12" s="24"/>
      <c r="D12" s="24"/>
      <c r="E12" s="24"/>
      <c r="F12" s="25"/>
      <c r="G12" s="24"/>
      <c r="H12" s="26"/>
      <c r="I12" s="26"/>
      <c r="J12" s="26"/>
      <c r="K12" s="24"/>
      <c r="L12" s="26"/>
      <c r="N12" s="26"/>
      <c r="O12" s="24"/>
      <c r="P12" s="26"/>
    </row>
    <row r="13" spans="3:19" ht="18" customHeight="1">
      <c r="C13" s="24"/>
      <c r="D13" s="24"/>
      <c r="E13" s="24"/>
      <c r="F13" s="25"/>
      <c r="G13" s="24"/>
      <c r="H13" s="26"/>
      <c r="I13" s="26"/>
      <c r="J13" s="26"/>
      <c r="K13" s="24"/>
      <c r="L13" s="26"/>
      <c r="N13" s="26"/>
      <c r="O13" s="24"/>
      <c r="P13" s="26"/>
    </row>
    <row r="14" spans="3:19" ht="18" customHeight="1">
      <c r="C14" s="24"/>
      <c r="D14" s="24"/>
      <c r="E14" s="24"/>
      <c r="F14" s="25"/>
      <c r="G14" s="24"/>
      <c r="H14" s="26"/>
      <c r="I14" s="26"/>
      <c r="J14" s="26"/>
      <c r="K14" s="24"/>
      <c r="L14" s="26"/>
      <c r="N14" s="26"/>
      <c r="O14" s="24"/>
      <c r="P14" s="26"/>
    </row>
    <row r="15" spans="3:19" ht="18" customHeight="1">
      <c r="C15" s="24"/>
      <c r="D15" s="24"/>
      <c r="E15" s="24"/>
      <c r="F15" s="25"/>
      <c r="G15" s="24"/>
      <c r="H15" s="26"/>
      <c r="I15" s="26"/>
      <c r="J15" s="26"/>
      <c r="K15" s="24"/>
      <c r="L15" s="26"/>
      <c r="N15" s="26"/>
      <c r="O15" s="24"/>
      <c r="P15" s="26"/>
    </row>
    <row r="16" spans="3:19" ht="18" customHeight="1">
      <c r="C16" s="24"/>
      <c r="D16" s="24"/>
      <c r="E16" s="24"/>
      <c r="F16" s="24"/>
      <c r="G16" s="25"/>
      <c r="H16" s="25"/>
      <c r="I16" s="26"/>
      <c r="J16" s="26"/>
      <c r="K16" s="26"/>
      <c r="L16" s="26"/>
      <c r="N16" s="26"/>
      <c r="O16" s="26"/>
      <c r="P16" s="26"/>
    </row>
    <row r="17" spans="3:19" ht="18" customHeight="1">
      <c r="C17" s="24"/>
      <c r="D17" s="24"/>
      <c r="E17" s="24"/>
      <c r="F17" s="25"/>
      <c r="G17" s="25"/>
      <c r="H17" s="25"/>
      <c r="I17" s="26"/>
      <c r="J17" s="26"/>
      <c r="K17" s="26"/>
      <c r="L17" s="26"/>
      <c r="N17" s="26"/>
      <c r="O17" s="26"/>
      <c r="P17" s="26"/>
    </row>
    <row r="18" spans="3:19" ht="18" customHeight="1">
      <c r="C18" s="24"/>
      <c r="D18" s="24"/>
      <c r="E18" s="24"/>
      <c r="F18" s="25"/>
      <c r="G18" s="25"/>
      <c r="H18" s="25"/>
      <c r="I18" s="26"/>
      <c r="J18" s="26"/>
      <c r="K18" s="26"/>
      <c r="L18" s="26"/>
      <c r="N18" s="26"/>
      <c r="O18" s="26"/>
      <c r="P18" s="26"/>
    </row>
    <row r="19" spans="3:19" ht="18" customHeight="1">
      <c r="C19" s="24"/>
      <c r="D19" s="24"/>
      <c r="E19" s="24"/>
      <c r="F19" s="25"/>
      <c r="G19" s="25"/>
      <c r="H19" s="25"/>
      <c r="I19" s="26"/>
      <c r="J19" s="26"/>
      <c r="K19" s="26"/>
      <c r="L19" s="26"/>
      <c r="N19" s="26"/>
      <c r="O19" s="26"/>
      <c r="P19" s="26"/>
    </row>
    <row r="20" spans="3:19" ht="16.5" hidden="1" customHeight="1">
      <c r="C20" s="24"/>
      <c r="D20" s="24"/>
      <c r="E20" s="24"/>
      <c r="F20" s="24"/>
      <c r="G20" s="25"/>
      <c r="H20" s="25"/>
      <c r="I20" s="26"/>
      <c r="J20" s="26"/>
      <c r="K20" s="26"/>
      <c r="L20" s="26"/>
      <c r="N20" s="26"/>
      <c r="O20" s="26"/>
      <c r="P20" s="26"/>
    </row>
    <row r="21" spans="3:19" s="4" customFormat="1" ht="20.100000000000001" customHeight="1">
      <c r="C21" s="296" t="s">
        <v>21</v>
      </c>
      <c r="D21" s="296"/>
      <c r="E21" s="45" t="s">
        <v>61</v>
      </c>
      <c r="F21" s="12"/>
      <c r="G21" s="296" t="s">
        <v>21</v>
      </c>
      <c r="H21" s="296"/>
      <c r="I21" s="45" t="s">
        <v>33</v>
      </c>
      <c r="J21" s="5"/>
      <c r="K21" s="296" t="s">
        <v>21</v>
      </c>
      <c r="L21" s="296"/>
      <c r="M21" s="45" t="s">
        <v>33</v>
      </c>
      <c r="N21" s="5"/>
      <c r="O21" s="342"/>
      <c r="P21" s="342"/>
      <c r="Q21" s="45"/>
      <c r="R21" s="2"/>
      <c r="S21" s="2"/>
    </row>
    <row r="22" spans="3:19" s="4" customFormat="1" ht="20.100000000000001" customHeight="1">
      <c r="C22" s="173" t="s">
        <v>6</v>
      </c>
      <c r="D22" s="173">
        <v>-10950</v>
      </c>
      <c r="E22" s="45">
        <f>D22*MID($C$6,1,1)</f>
        <v>-54750</v>
      </c>
      <c r="F22" s="12"/>
      <c r="G22" s="173" t="s">
        <v>6</v>
      </c>
      <c r="H22" s="173">
        <v>-10950</v>
      </c>
      <c r="I22" s="45">
        <f>H22*MID($G$6,1,1)</f>
        <v>-43800</v>
      </c>
      <c r="J22" s="5"/>
      <c r="K22" s="173" t="s">
        <v>6</v>
      </c>
      <c r="L22" s="173">
        <v>-21870</v>
      </c>
      <c r="M22" s="45">
        <f>L22*MID($K$6,1,1)</f>
        <v>-43740</v>
      </c>
      <c r="N22" s="5"/>
      <c r="O22" s="5"/>
      <c r="P22" s="5"/>
      <c r="Q22" s="45"/>
      <c r="R22" s="2"/>
      <c r="S22" s="2"/>
    </row>
    <row r="23" spans="3:19" s="4" customFormat="1" ht="20.100000000000001" customHeight="1">
      <c r="C23" s="173" t="s">
        <v>7</v>
      </c>
      <c r="D23" s="173">
        <v>-10420</v>
      </c>
      <c r="E23" s="45">
        <f>D23*MID($C$6,1,1)</f>
        <v>-52100</v>
      </c>
      <c r="F23" s="12"/>
      <c r="G23" s="173" t="s">
        <v>7</v>
      </c>
      <c r="H23" s="173">
        <v>-10420</v>
      </c>
      <c r="I23" s="45">
        <f>H23*MID($G$6,1,1)</f>
        <v>-41680</v>
      </c>
      <c r="J23" s="5"/>
      <c r="K23" s="173" t="s">
        <v>7</v>
      </c>
      <c r="L23" s="173">
        <v>-20810</v>
      </c>
      <c r="M23" s="45">
        <f>L23*MID($K$6,1,1)</f>
        <v>-41620</v>
      </c>
      <c r="N23" s="5"/>
      <c r="O23" s="5"/>
      <c r="P23" s="5"/>
      <c r="Q23" s="45"/>
      <c r="R23" s="2"/>
      <c r="S23" s="2"/>
    </row>
    <row r="24" spans="3:19" s="4" customFormat="1" ht="20.100000000000001" customHeight="1">
      <c r="C24" s="173" t="s">
        <v>8</v>
      </c>
      <c r="D24" s="173">
        <v>10950</v>
      </c>
      <c r="E24" s="45">
        <f>D24*MID($C$6,1,1)</f>
        <v>54750</v>
      </c>
      <c r="F24" s="12"/>
      <c r="G24" s="173" t="s">
        <v>8</v>
      </c>
      <c r="H24" s="173">
        <v>10950</v>
      </c>
      <c r="I24" s="45">
        <f>H24*MID($G$6,1,1)</f>
        <v>43800</v>
      </c>
      <c r="J24" s="5"/>
      <c r="K24" s="173" t="s">
        <v>8</v>
      </c>
      <c r="L24" s="173">
        <v>21870</v>
      </c>
      <c r="M24" s="45">
        <f>L24*MID($K$6,1,1)</f>
        <v>43740</v>
      </c>
      <c r="N24" s="5"/>
      <c r="O24" s="5"/>
      <c r="P24" s="5"/>
      <c r="Q24" s="45"/>
      <c r="R24" s="2"/>
      <c r="S24" s="2"/>
    </row>
    <row r="25" spans="3:19" s="4" customFormat="1" ht="20.100000000000001" customHeight="1">
      <c r="C25" s="93" t="s">
        <v>9</v>
      </c>
      <c r="D25" s="173">
        <v>10420</v>
      </c>
      <c r="E25" s="45">
        <f>D25*MID($C$6,1,1)</f>
        <v>52100</v>
      </c>
      <c r="F25" s="12"/>
      <c r="G25" s="93" t="s">
        <v>9</v>
      </c>
      <c r="H25" s="173">
        <v>10420</v>
      </c>
      <c r="I25" s="45">
        <f>H25*MID($G$6,1,1)</f>
        <v>41680</v>
      </c>
      <c r="J25" s="5"/>
      <c r="K25" s="93" t="s">
        <v>9</v>
      </c>
      <c r="L25" s="173">
        <v>20810</v>
      </c>
      <c r="M25" s="45">
        <f>L25*MID($K$6,1,1)</f>
        <v>41620</v>
      </c>
      <c r="N25" s="5"/>
      <c r="O25" s="3"/>
      <c r="P25" s="5"/>
      <c r="Q25" s="45"/>
      <c r="R25" s="2"/>
      <c r="S25" s="2"/>
    </row>
    <row r="26" spans="3:19" s="4" customFormat="1" ht="20.100000000000001" customHeight="1">
      <c r="C26" s="296" t="s">
        <v>22</v>
      </c>
      <c r="D26" s="296"/>
      <c r="E26" s="5"/>
      <c r="F26" s="12"/>
      <c r="G26" s="296" t="s">
        <v>22</v>
      </c>
      <c r="H26" s="296"/>
      <c r="I26" s="5"/>
      <c r="J26" s="5"/>
      <c r="K26" s="296" t="s">
        <v>22</v>
      </c>
      <c r="L26" s="296"/>
      <c r="N26" s="5"/>
      <c r="O26" s="342"/>
      <c r="P26" s="342"/>
      <c r="Q26" s="2"/>
      <c r="R26" s="2"/>
      <c r="S26" s="2"/>
    </row>
    <row r="27" spans="3:19" s="4" customFormat="1" ht="20.100000000000001" customHeight="1">
      <c r="C27" s="93" t="s">
        <v>1</v>
      </c>
      <c r="D27" s="173">
        <v>21840</v>
      </c>
      <c r="E27" s="5"/>
      <c r="F27" s="12"/>
      <c r="G27" s="93" t="s">
        <v>1</v>
      </c>
      <c r="H27" s="173">
        <v>21840</v>
      </c>
      <c r="I27" s="5"/>
      <c r="J27" s="5"/>
      <c r="K27" s="93" t="s">
        <v>1</v>
      </c>
      <c r="L27" s="173">
        <v>43680</v>
      </c>
      <c r="N27" s="5"/>
      <c r="O27" s="3"/>
      <c r="P27" s="5"/>
      <c r="Q27" s="2"/>
      <c r="R27" s="2"/>
      <c r="S27" s="2"/>
    </row>
    <row r="28" spans="3:19" s="4" customFormat="1" ht="20.100000000000001" customHeight="1">
      <c r="C28" s="93" t="s">
        <v>4</v>
      </c>
      <c r="D28" s="173">
        <v>20780</v>
      </c>
      <c r="E28" s="5"/>
      <c r="F28" s="12"/>
      <c r="G28" s="93" t="s">
        <v>4</v>
      </c>
      <c r="H28" s="173">
        <v>20780</v>
      </c>
      <c r="I28" s="5"/>
      <c r="J28" s="5"/>
      <c r="K28" s="93" t="s">
        <v>4</v>
      </c>
      <c r="L28" s="173">
        <v>41560</v>
      </c>
      <c r="N28" s="5"/>
      <c r="O28" s="3"/>
      <c r="P28" s="5"/>
      <c r="Q28" s="2"/>
      <c r="R28" s="2"/>
      <c r="S28" s="2"/>
    </row>
    <row r="29" spans="3:19" s="4" customFormat="1" ht="20.100000000000001" customHeight="1">
      <c r="C29" s="296" t="s">
        <v>23</v>
      </c>
      <c r="D29" s="296"/>
      <c r="E29" s="12"/>
      <c r="F29" s="12"/>
      <c r="G29" s="296" t="s">
        <v>23</v>
      </c>
      <c r="H29" s="296"/>
      <c r="I29" s="12"/>
      <c r="J29" s="12"/>
      <c r="K29" s="296" t="s">
        <v>23</v>
      </c>
      <c r="L29" s="296"/>
      <c r="N29" s="12"/>
      <c r="O29" s="342"/>
      <c r="P29" s="342"/>
      <c r="Q29" s="2"/>
      <c r="R29" s="2"/>
      <c r="S29" s="2"/>
    </row>
    <row r="30" spans="3:19" s="4" customFormat="1" ht="20.100000000000001" customHeight="1">
      <c r="C30" s="93" t="s">
        <v>1</v>
      </c>
      <c r="D30" s="173">
        <v>0</v>
      </c>
      <c r="E30" s="12"/>
      <c r="F30" s="12"/>
      <c r="G30" s="93" t="s">
        <v>1</v>
      </c>
      <c r="H30" s="173">
        <v>0</v>
      </c>
      <c r="I30" s="12"/>
      <c r="J30" s="12"/>
      <c r="K30" s="93" t="s">
        <v>1</v>
      </c>
      <c r="L30" s="173">
        <v>-10920</v>
      </c>
      <c r="N30" s="12"/>
      <c r="O30" s="3"/>
      <c r="P30" s="5"/>
      <c r="Q30" s="2"/>
      <c r="R30" s="2"/>
      <c r="S30" s="2"/>
    </row>
    <row r="31" spans="3:19" s="4" customFormat="1" ht="20.100000000000001" customHeight="1">
      <c r="C31" s="93" t="s">
        <v>4</v>
      </c>
      <c r="D31" s="173">
        <v>0</v>
      </c>
      <c r="E31" s="12"/>
      <c r="F31" s="12"/>
      <c r="G31" s="93" t="s">
        <v>4</v>
      </c>
      <c r="H31" s="173">
        <v>0</v>
      </c>
      <c r="I31" s="12"/>
      <c r="J31" s="12"/>
      <c r="K31" s="93" t="s">
        <v>4</v>
      </c>
      <c r="L31" s="173">
        <v>-10390</v>
      </c>
      <c r="N31" s="12"/>
      <c r="O31" s="3"/>
      <c r="P31" s="5"/>
      <c r="Q31" s="2"/>
      <c r="R31" s="2"/>
      <c r="S31" s="2"/>
    </row>
    <row r="32" spans="3:19" s="4" customFormat="1" ht="18" customHeight="1">
      <c r="C32" s="3"/>
      <c r="D32" s="5"/>
      <c r="E32" s="12"/>
      <c r="F32" s="12"/>
      <c r="G32" s="3"/>
      <c r="H32" s="5"/>
      <c r="I32" s="12"/>
      <c r="J32" s="12"/>
      <c r="K32" s="3"/>
      <c r="L32" s="5"/>
      <c r="N32" s="12"/>
      <c r="O32" s="3"/>
      <c r="P32" s="5"/>
      <c r="Q32" s="2"/>
      <c r="R32" s="2"/>
      <c r="S32" s="2"/>
    </row>
    <row r="33" spans="15:19" s="4" customFormat="1" ht="18" customHeight="1">
      <c r="O33" s="2"/>
      <c r="P33" s="2"/>
      <c r="Q33" s="2"/>
      <c r="R33" s="2"/>
      <c r="S33" s="2"/>
    </row>
    <row r="34" spans="15:19" s="4" customFormat="1" ht="15">
      <c r="O34" s="2"/>
      <c r="P34" s="2"/>
      <c r="Q34" s="2"/>
      <c r="R34" s="2"/>
      <c r="S34" s="2"/>
    </row>
    <row r="35" spans="15:19" s="4" customFormat="1" ht="15">
      <c r="O35" s="2"/>
      <c r="P35" s="2"/>
      <c r="Q35" s="2"/>
      <c r="R35" s="2"/>
      <c r="S35" s="2"/>
    </row>
    <row r="36" spans="15:19" s="4" customFormat="1" ht="15">
      <c r="O36" s="2"/>
      <c r="P36" s="2"/>
      <c r="Q36" s="2"/>
      <c r="R36" s="2"/>
      <c r="S36" s="2"/>
    </row>
    <row r="37" spans="15:19" s="4" customFormat="1" ht="15">
      <c r="O37" s="2"/>
      <c r="P37" s="2"/>
      <c r="Q37" s="2"/>
      <c r="R37" s="2"/>
      <c r="S37" s="2"/>
    </row>
  </sheetData>
  <mergeCells count="20">
    <mergeCell ref="O6:P6"/>
    <mergeCell ref="O7:P7"/>
    <mergeCell ref="O21:P21"/>
    <mergeCell ref="O26:P26"/>
    <mergeCell ref="O29:P29"/>
    <mergeCell ref="C29:D29"/>
    <mergeCell ref="G29:H29"/>
    <mergeCell ref="K29:L29"/>
    <mergeCell ref="C26:D26"/>
    <mergeCell ref="G26:H26"/>
    <mergeCell ref="K26:L26"/>
    <mergeCell ref="C21:D21"/>
    <mergeCell ref="G21:H21"/>
    <mergeCell ref="K21:L21"/>
    <mergeCell ref="K6:L6"/>
    <mergeCell ref="K7:L7"/>
    <mergeCell ref="C6:D6"/>
    <mergeCell ref="C7:D7"/>
    <mergeCell ref="G6:H6"/>
    <mergeCell ref="G7:H7"/>
  </mergeCells>
  <phoneticPr fontId="8" type="noConversion"/>
  <printOptions horizontalCentered="1"/>
  <pageMargins left="0.39370078740157483" right="0.39370078740157483" top="0.39370078740157483" bottom="0.39370078740157483" header="0.19685039370078741" footer="0.19685039370078741"/>
  <pageSetup paperSize="9" scale="73" orientation="landscape" r:id="rId1"/>
  <headerFooter alignWithMargins="0">
    <oddFooter>&amp;C&amp;"Arial,標準"( &amp;P / &amp;N )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AJ76"/>
  <sheetViews>
    <sheetView zoomScale="75" workbookViewId="0">
      <selection activeCell="H45" sqref="H45"/>
    </sheetView>
  </sheetViews>
  <sheetFormatPr defaultRowHeight="18" customHeight="1"/>
  <cols>
    <col min="1" max="1" width="4.625" style="4" customWidth="1"/>
    <col min="2" max="2" width="46.125" style="31" bestFit="1" customWidth="1"/>
    <col min="3" max="4" width="12.5" style="103" customWidth="1"/>
    <col min="5" max="5" width="12.5" style="12" customWidth="1"/>
    <col min="6" max="10" width="13.125" style="4" customWidth="1"/>
    <col min="11" max="11" width="4.625" style="2" customWidth="1"/>
    <col min="12" max="12" width="15.625" style="100" customWidth="1"/>
    <col min="13" max="14" width="7.625" style="2" customWidth="1"/>
    <col min="15" max="15" width="6.625" style="2" customWidth="1"/>
    <col min="16" max="16" width="4.625" style="2" customWidth="1"/>
    <col min="17" max="17" width="4.625" style="4" customWidth="1"/>
    <col min="18" max="18" width="15.625" style="31" customWidth="1"/>
    <col min="19" max="20" width="7.625" style="4" customWidth="1"/>
    <col min="21" max="21" width="6.625" style="4" customWidth="1"/>
    <col min="22" max="23" width="4.625" style="4" customWidth="1"/>
    <col min="24" max="24" width="15.625" style="31" customWidth="1"/>
    <col min="25" max="26" width="7.625" style="4" customWidth="1"/>
    <col min="27" max="27" width="6.625" style="4" customWidth="1"/>
    <col min="28" max="29" width="4.625" style="4" customWidth="1"/>
    <col min="30" max="30" width="15.625" style="31" customWidth="1"/>
    <col min="31" max="32" width="7.625" style="4" customWidth="1"/>
    <col min="33" max="33" width="6.625" style="4" customWidth="1"/>
    <col min="34" max="35" width="9" style="4"/>
    <col min="36" max="36" width="9" style="31"/>
    <col min="37" max="16384" width="9" style="4"/>
  </cols>
  <sheetData>
    <row r="1" spans="1:36" ht="69.95" customHeight="1">
      <c r="B1" s="36"/>
    </row>
    <row r="2" spans="1:36" ht="20.25" customHeight="1" thickBot="1">
      <c r="A2" s="27" t="s">
        <v>29</v>
      </c>
    </row>
    <row r="3" spans="1:36" s="23" customFormat="1" ht="18" customHeight="1" thickBot="1">
      <c r="A3" s="19" t="s">
        <v>20</v>
      </c>
      <c r="B3" s="20" t="s">
        <v>3</v>
      </c>
      <c r="C3" s="96" t="s">
        <v>1</v>
      </c>
      <c r="D3" s="96" t="s">
        <v>4</v>
      </c>
      <c r="E3" s="21" t="s">
        <v>5</v>
      </c>
      <c r="K3" s="29"/>
      <c r="L3" s="29"/>
      <c r="M3" s="29"/>
      <c r="N3" s="29"/>
      <c r="O3" s="29"/>
      <c r="P3" s="29"/>
    </row>
    <row r="4" spans="1:36" s="23" customFormat="1" ht="18" customHeight="1">
      <c r="A4" s="39"/>
      <c r="B4" s="43" t="s">
        <v>226</v>
      </c>
      <c r="C4" s="54">
        <v>-10920</v>
      </c>
      <c r="D4" s="54">
        <v>-10390</v>
      </c>
      <c r="E4" s="39" t="s">
        <v>175</v>
      </c>
      <c r="K4" s="29"/>
      <c r="L4" s="33"/>
      <c r="M4" s="29"/>
      <c r="N4" s="29"/>
      <c r="O4" s="29"/>
      <c r="P4" s="29"/>
      <c r="R4" s="32"/>
      <c r="X4" s="32"/>
      <c r="AD4" s="32"/>
      <c r="AJ4" s="32"/>
    </row>
    <row r="5" spans="1:36" s="23" customFormat="1" ht="18" customHeight="1">
      <c r="A5" s="40"/>
      <c r="B5" s="44" t="s">
        <v>225</v>
      </c>
      <c r="C5" s="51">
        <v>10920</v>
      </c>
      <c r="D5" s="51">
        <v>10322</v>
      </c>
      <c r="E5" s="40" t="s">
        <v>189</v>
      </c>
      <c r="K5" s="29"/>
      <c r="L5" s="33"/>
      <c r="M5" s="29"/>
      <c r="N5" s="29"/>
      <c r="O5" s="29"/>
      <c r="P5" s="29"/>
      <c r="R5" s="32"/>
      <c r="X5" s="32"/>
      <c r="AD5" s="32"/>
      <c r="AJ5" s="32"/>
    </row>
    <row r="6" spans="1:36" s="23" customFormat="1" ht="18" customHeight="1">
      <c r="A6" s="40"/>
      <c r="B6" s="44" t="s">
        <v>225</v>
      </c>
      <c r="C6" s="51">
        <v>10852</v>
      </c>
      <c r="D6" s="51">
        <v>10390</v>
      </c>
      <c r="E6" s="40" t="s">
        <v>175</v>
      </c>
      <c r="K6" s="29"/>
      <c r="L6" s="33"/>
      <c r="M6" s="29"/>
      <c r="N6" s="29"/>
      <c r="O6" s="29"/>
      <c r="P6" s="29"/>
      <c r="R6" s="32"/>
      <c r="X6" s="32"/>
      <c r="AD6" s="32"/>
      <c r="AJ6" s="32"/>
    </row>
    <row r="7" spans="1:36" s="23" customFormat="1" ht="18" customHeight="1">
      <c r="A7" s="40"/>
      <c r="B7" s="44" t="s">
        <v>225</v>
      </c>
      <c r="C7" s="51">
        <v>10920</v>
      </c>
      <c r="D7" s="51">
        <v>-10322</v>
      </c>
      <c r="E7" s="40" t="s">
        <v>189</v>
      </c>
      <c r="K7" s="29"/>
      <c r="L7" s="33"/>
      <c r="M7" s="29"/>
      <c r="N7" s="29"/>
      <c r="O7" s="29"/>
      <c r="P7" s="29"/>
      <c r="R7" s="32"/>
      <c r="X7" s="32"/>
      <c r="AD7" s="32"/>
      <c r="AJ7" s="32"/>
    </row>
    <row r="8" spans="1:36" s="23" customFormat="1" ht="18" customHeight="1">
      <c r="A8" s="40"/>
      <c r="B8" s="44" t="s">
        <v>225</v>
      </c>
      <c r="C8" s="51">
        <v>-10852</v>
      </c>
      <c r="D8" s="51">
        <v>10390</v>
      </c>
      <c r="E8" s="40" t="s">
        <v>175</v>
      </c>
      <c r="K8" s="29"/>
      <c r="L8" s="33"/>
      <c r="M8" s="29"/>
      <c r="N8" s="29"/>
      <c r="O8" s="29"/>
      <c r="P8" s="29"/>
      <c r="R8" s="32"/>
      <c r="X8" s="32"/>
      <c r="AD8" s="32"/>
      <c r="AJ8" s="32"/>
    </row>
    <row r="9" spans="1:36" s="23" customFormat="1" ht="18" customHeight="1">
      <c r="A9" s="40"/>
      <c r="B9" s="44" t="s">
        <v>224</v>
      </c>
      <c r="C9" s="51">
        <v>10784</v>
      </c>
      <c r="D9" s="51">
        <v>10390</v>
      </c>
      <c r="E9" s="40" t="s">
        <v>175</v>
      </c>
      <c r="K9" s="29"/>
      <c r="L9" s="33"/>
      <c r="M9" s="29"/>
      <c r="N9" s="29"/>
      <c r="O9" s="29"/>
      <c r="P9" s="29"/>
      <c r="R9" s="32"/>
      <c r="X9" s="32"/>
      <c r="AD9" s="32"/>
      <c r="AJ9" s="32"/>
    </row>
    <row r="10" spans="1:36" s="23" customFormat="1" ht="18" customHeight="1">
      <c r="A10" s="40"/>
      <c r="B10" s="44" t="s">
        <v>224</v>
      </c>
      <c r="C10" s="51">
        <v>-10784</v>
      </c>
      <c r="D10" s="51">
        <v>10390</v>
      </c>
      <c r="E10" s="40" t="s">
        <v>175</v>
      </c>
      <c r="K10" s="29"/>
      <c r="L10" s="33"/>
      <c r="M10" s="29"/>
      <c r="N10" s="29"/>
      <c r="O10" s="29"/>
      <c r="P10" s="29"/>
      <c r="R10" s="32"/>
      <c r="X10" s="32"/>
      <c r="AD10" s="32"/>
      <c r="AJ10" s="32"/>
    </row>
    <row r="11" spans="1:36" s="23" customFormat="1" ht="18" customHeight="1">
      <c r="A11" s="40"/>
      <c r="B11" s="44" t="s">
        <v>224</v>
      </c>
      <c r="C11" s="51">
        <v>10920</v>
      </c>
      <c r="D11" s="51">
        <v>-10254</v>
      </c>
      <c r="E11" s="40" t="s">
        <v>189</v>
      </c>
      <c r="K11" s="29"/>
      <c r="L11" s="33"/>
      <c r="M11" s="29"/>
      <c r="N11" s="29"/>
      <c r="O11" s="29"/>
      <c r="P11" s="29"/>
      <c r="R11" s="32"/>
      <c r="X11" s="32"/>
      <c r="AD11" s="32"/>
      <c r="AJ11" s="32"/>
    </row>
    <row r="12" spans="1:36" s="23" customFormat="1" ht="18" customHeight="1">
      <c r="A12" s="40"/>
      <c r="B12" s="44" t="s">
        <v>224</v>
      </c>
      <c r="C12" s="51">
        <v>10920</v>
      </c>
      <c r="D12" s="51">
        <v>10254</v>
      </c>
      <c r="E12" s="40" t="s">
        <v>189</v>
      </c>
      <c r="K12" s="29"/>
      <c r="L12" s="33"/>
      <c r="M12" s="29"/>
      <c r="N12" s="29"/>
      <c r="O12" s="29"/>
      <c r="P12" s="29"/>
      <c r="R12" s="32"/>
      <c r="X12" s="32"/>
      <c r="AD12" s="32"/>
      <c r="AJ12" s="32"/>
    </row>
    <row r="13" spans="1:36" s="23" customFormat="1" ht="18" customHeight="1">
      <c r="A13" s="40"/>
      <c r="B13" s="44" t="s">
        <v>223</v>
      </c>
      <c r="C13" s="51">
        <v>-10716</v>
      </c>
      <c r="D13" s="51">
        <v>10390</v>
      </c>
      <c r="E13" s="40" t="s">
        <v>175</v>
      </c>
      <c r="K13" s="29"/>
      <c r="L13" s="33"/>
      <c r="M13" s="29"/>
      <c r="N13" s="29"/>
      <c r="O13" s="29"/>
      <c r="P13" s="29"/>
      <c r="R13" s="32"/>
      <c r="X13" s="32"/>
      <c r="AD13" s="32"/>
      <c r="AJ13" s="32"/>
    </row>
    <row r="14" spans="1:36" s="23" customFormat="1" ht="18" customHeight="1">
      <c r="A14" s="40"/>
      <c r="B14" s="44" t="s">
        <v>223</v>
      </c>
      <c r="C14" s="51">
        <v>10716</v>
      </c>
      <c r="D14" s="51">
        <v>10390</v>
      </c>
      <c r="E14" s="40" t="s">
        <v>175</v>
      </c>
      <c r="K14" s="29"/>
      <c r="L14" s="33"/>
      <c r="M14" s="29"/>
      <c r="N14" s="29"/>
      <c r="O14" s="29"/>
      <c r="P14" s="29"/>
      <c r="R14" s="32"/>
      <c r="X14" s="32"/>
      <c r="AD14" s="32"/>
      <c r="AJ14" s="32"/>
    </row>
    <row r="15" spans="1:36" s="23" customFormat="1" ht="18" customHeight="1">
      <c r="A15" s="40"/>
      <c r="B15" s="44" t="s">
        <v>223</v>
      </c>
      <c r="C15" s="51">
        <v>10920</v>
      </c>
      <c r="D15" s="51">
        <v>-10186</v>
      </c>
      <c r="E15" s="40" t="s">
        <v>189</v>
      </c>
      <c r="K15" s="29"/>
      <c r="L15" s="33"/>
      <c r="M15" s="29"/>
      <c r="N15" s="29"/>
      <c r="O15" s="29"/>
      <c r="P15" s="29"/>
      <c r="R15" s="32"/>
      <c r="X15" s="32"/>
      <c r="AD15" s="32"/>
      <c r="AJ15" s="32"/>
    </row>
    <row r="16" spans="1:36" s="23" customFormat="1" ht="18" customHeight="1">
      <c r="A16" s="40"/>
      <c r="B16" s="44" t="s">
        <v>223</v>
      </c>
      <c r="C16" s="51">
        <v>10920</v>
      </c>
      <c r="D16" s="51">
        <v>10186</v>
      </c>
      <c r="E16" s="40" t="s">
        <v>189</v>
      </c>
      <c r="K16" s="29"/>
      <c r="L16" s="33"/>
      <c r="M16" s="29"/>
      <c r="N16" s="29"/>
      <c r="O16" s="29"/>
      <c r="P16" s="29"/>
      <c r="R16" s="32"/>
      <c r="X16" s="32"/>
      <c r="AD16" s="32"/>
      <c r="AJ16" s="32"/>
    </row>
    <row r="17" spans="1:36" s="23" customFormat="1" ht="18" customHeight="1">
      <c r="A17" s="40"/>
      <c r="B17" s="44" t="s">
        <v>222</v>
      </c>
      <c r="C17" s="51">
        <v>10648</v>
      </c>
      <c r="D17" s="51">
        <v>10390</v>
      </c>
      <c r="E17" s="40" t="s">
        <v>175</v>
      </c>
      <c r="K17" s="29"/>
      <c r="L17" s="33"/>
      <c r="M17" s="29"/>
      <c r="N17" s="29"/>
      <c r="O17" s="29"/>
      <c r="P17" s="29"/>
      <c r="R17" s="32"/>
      <c r="X17" s="32"/>
      <c r="AD17" s="32"/>
      <c r="AJ17" s="32"/>
    </row>
    <row r="18" spans="1:36" s="23" customFormat="1" ht="18" customHeight="1">
      <c r="A18" s="40"/>
      <c r="B18" s="44" t="s">
        <v>222</v>
      </c>
      <c r="C18" s="51">
        <v>10920</v>
      </c>
      <c r="D18" s="51">
        <v>-10118</v>
      </c>
      <c r="E18" s="40" t="s">
        <v>189</v>
      </c>
      <c r="K18" s="29"/>
      <c r="L18" s="33"/>
      <c r="M18" s="29"/>
      <c r="N18" s="29"/>
      <c r="O18" s="29"/>
      <c r="P18" s="29"/>
      <c r="R18" s="32"/>
      <c r="X18" s="32"/>
      <c r="AD18" s="32"/>
      <c r="AJ18" s="32"/>
    </row>
    <row r="19" spans="1:36" s="23" customFormat="1" ht="18" customHeight="1">
      <c r="A19" s="40"/>
      <c r="B19" s="44" t="s">
        <v>222</v>
      </c>
      <c r="C19" s="51">
        <v>-10648</v>
      </c>
      <c r="D19" s="51">
        <v>10390</v>
      </c>
      <c r="E19" s="40" t="s">
        <v>175</v>
      </c>
      <c r="K19" s="29"/>
      <c r="L19" s="33"/>
      <c r="M19" s="29"/>
      <c r="N19" s="29"/>
      <c r="O19" s="29"/>
      <c r="P19" s="29"/>
      <c r="R19" s="32"/>
      <c r="X19" s="32"/>
      <c r="AD19" s="32"/>
      <c r="AJ19" s="32"/>
    </row>
    <row r="20" spans="1:36" s="23" customFormat="1" ht="18" customHeight="1">
      <c r="A20" s="40"/>
      <c r="B20" s="44" t="s">
        <v>222</v>
      </c>
      <c r="C20" s="51">
        <v>10920</v>
      </c>
      <c r="D20" s="51">
        <v>10118</v>
      </c>
      <c r="E20" s="40" t="s">
        <v>189</v>
      </c>
      <c r="K20" s="29"/>
      <c r="L20" s="33"/>
      <c r="M20" s="29"/>
      <c r="N20" s="29"/>
      <c r="O20" s="29"/>
      <c r="P20" s="29"/>
      <c r="R20" s="32"/>
      <c r="X20" s="32"/>
      <c r="AD20" s="32"/>
      <c r="AJ20" s="32"/>
    </row>
    <row r="21" spans="1:36" s="23" customFormat="1" ht="18" customHeight="1">
      <c r="A21" s="40"/>
      <c r="B21" s="44" t="s">
        <v>221</v>
      </c>
      <c r="C21" s="51">
        <v>10852</v>
      </c>
      <c r="D21" s="51">
        <v>-10390</v>
      </c>
      <c r="E21" s="40" t="s">
        <v>175</v>
      </c>
      <c r="K21" s="29"/>
      <c r="L21" s="33"/>
      <c r="M21" s="29"/>
      <c r="N21" s="29"/>
      <c r="O21" s="29"/>
      <c r="P21" s="29"/>
      <c r="R21" s="32"/>
      <c r="X21" s="32"/>
      <c r="AD21" s="32"/>
      <c r="AJ21" s="32"/>
    </row>
    <row r="22" spans="1:36" s="23" customFormat="1" ht="18" customHeight="1">
      <c r="A22" s="40"/>
      <c r="B22" s="44" t="s">
        <v>221</v>
      </c>
      <c r="C22" s="51">
        <v>-10920</v>
      </c>
      <c r="D22" s="51">
        <v>10322</v>
      </c>
      <c r="E22" s="40" t="s">
        <v>189</v>
      </c>
      <c r="K22" s="29"/>
      <c r="L22" s="33"/>
      <c r="M22" s="29"/>
      <c r="N22" s="29"/>
      <c r="O22" s="29"/>
      <c r="P22" s="29"/>
      <c r="R22" s="32"/>
      <c r="X22" s="32"/>
      <c r="AD22" s="32"/>
      <c r="AJ22" s="32"/>
    </row>
    <row r="23" spans="1:36" s="23" customFormat="1" ht="18" customHeight="1">
      <c r="A23" s="40"/>
      <c r="B23" s="44" t="s">
        <v>221</v>
      </c>
      <c r="C23" s="51">
        <v>-10852</v>
      </c>
      <c r="D23" s="51">
        <v>-10390</v>
      </c>
      <c r="E23" s="40" t="s">
        <v>175</v>
      </c>
      <c r="K23" s="29"/>
      <c r="L23" s="33"/>
      <c r="M23" s="29"/>
      <c r="N23" s="29"/>
      <c r="O23" s="29"/>
      <c r="P23" s="29"/>
      <c r="R23" s="32"/>
      <c r="X23" s="32"/>
      <c r="AD23" s="32"/>
      <c r="AJ23" s="32"/>
    </row>
    <row r="24" spans="1:36" s="23" customFormat="1" ht="18" customHeight="1">
      <c r="A24" s="40"/>
      <c r="B24" s="44" t="s">
        <v>221</v>
      </c>
      <c r="C24" s="51">
        <v>-10920</v>
      </c>
      <c r="D24" s="51">
        <v>-10322</v>
      </c>
      <c r="E24" s="40" t="s">
        <v>189</v>
      </c>
      <c r="K24" s="29"/>
      <c r="L24" s="33"/>
      <c r="M24" s="29"/>
      <c r="N24" s="29"/>
      <c r="O24" s="29"/>
      <c r="P24" s="29"/>
      <c r="R24" s="32"/>
      <c r="X24" s="32"/>
      <c r="AD24" s="32"/>
      <c r="AJ24" s="32"/>
    </row>
    <row r="25" spans="1:36" s="23" customFormat="1" ht="18" customHeight="1">
      <c r="A25" s="40"/>
      <c r="B25" s="44" t="s">
        <v>220</v>
      </c>
      <c r="C25" s="51">
        <v>-10784</v>
      </c>
      <c r="D25" s="51">
        <v>-10390</v>
      </c>
      <c r="E25" s="40" t="s">
        <v>175</v>
      </c>
      <c r="K25" s="29"/>
      <c r="L25" s="33"/>
      <c r="M25" s="29"/>
      <c r="N25" s="29"/>
      <c r="O25" s="29"/>
      <c r="P25" s="29"/>
      <c r="R25" s="32"/>
      <c r="X25" s="32"/>
      <c r="AD25" s="32"/>
      <c r="AJ25" s="32"/>
    </row>
    <row r="26" spans="1:36" s="23" customFormat="1" ht="18" customHeight="1">
      <c r="A26" s="40"/>
      <c r="B26" s="44" t="s">
        <v>220</v>
      </c>
      <c r="C26" s="51">
        <v>-10920</v>
      </c>
      <c r="D26" s="51">
        <v>-10254</v>
      </c>
      <c r="E26" s="40" t="s">
        <v>189</v>
      </c>
      <c r="K26" s="29"/>
      <c r="L26" s="33"/>
      <c r="M26" s="29"/>
      <c r="N26" s="29"/>
      <c r="O26" s="29"/>
      <c r="P26" s="29"/>
      <c r="R26" s="32"/>
      <c r="X26" s="32"/>
      <c r="AD26" s="32"/>
      <c r="AJ26" s="32"/>
    </row>
    <row r="27" spans="1:36" s="23" customFormat="1" ht="18" customHeight="1">
      <c r="A27" s="40"/>
      <c r="B27" s="44" t="s">
        <v>220</v>
      </c>
      <c r="C27" s="51">
        <v>10784</v>
      </c>
      <c r="D27" s="51">
        <v>-10390</v>
      </c>
      <c r="E27" s="40" t="s">
        <v>175</v>
      </c>
      <c r="K27" s="29"/>
      <c r="L27" s="33"/>
      <c r="M27" s="29"/>
      <c r="N27" s="29"/>
      <c r="O27" s="29"/>
      <c r="P27" s="29"/>
      <c r="R27" s="32"/>
      <c r="X27" s="32"/>
      <c r="AD27" s="32"/>
      <c r="AJ27" s="32"/>
    </row>
    <row r="28" spans="1:36" s="23" customFormat="1" ht="18" customHeight="1">
      <c r="A28" s="40"/>
      <c r="B28" s="44" t="s">
        <v>220</v>
      </c>
      <c r="C28" s="51">
        <v>-10920</v>
      </c>
      <c r="D28" s="51">
        <v>10254</v>
      </c>
      <c r="E28" s="40" t="s">
        <v>189</v>
      </c>
      <c r="K28" s="29"/>
      <c r="L28" s="33"/>
      <c r="M28" s="29"/>
      <c r="N28" s="29"/>
      <c r="O28" s="29"/>
      <c r="P28" s="29"/>
      <c r="R28" s="32"/>
      <c r="X28" s="32"/>
      <c r="AD28" s="32"/>
      <c r="AJ28" s="32"/>
    </row>
    <row r="29" spans="1:36" s="23" customFormat="1" ht="18" customHeight="1">
      <c r="A29" s="40"/>
      <c r="B29" s="44" t="s">
        <v>219</v>
      </c>
      <c r="C29" s="51">
        <v>-10716</v>
      </c>
      <c r="D29" s="51">
        <v>-10390</v>
      </c>
      <c r="E29" s="40" t="s">
        <v>175</v>
      </c>
      <c r="K29" s="29"/>
      <c r="L29" s="33"/>
      <c r="M29" s="29"/>
      <c r="N29" s="29"/>
      <c r="O29" s="29"/>
      <c r="P29" s="29"/>
      <c r="R29" s="32"/>
      <c r="X29" s="32"/>
      <c r="AD29" s="32"/>
      <c r="AJ29" s="32"/>
    </row>
    <row r="30" spans="1:36" s="23" customFormat="1" ht="18" customHeight="1">
      <c r="A30" s="40"/>
      <c r="B30" s="44" t="s">
        <v>219</v>
      </c>
      <c r="C30" s="51">
        <v>-10920</v>
      </c>
      <c r="D30" s="51">
        <v>10186</v>
      </c>
      <c r="E30" s="40" t="s">
        <v>189</v>
      </c>
      <c r="K30" s="29"/>
      <c r="L30" s="33"/>
      <c r="M30" s="29"/>
      <c r="N30" s="29"/>
      <c r="O30" s="29"/>
      <c r="P30" s="29"/>
      <c r="R30" s="32"/>
      <c r="X30" s="32"/>
      <c r="AD30" s="32"/>
      <c r="AJ30" s="32"/>
    </row>
    <row r="31" spans="1:36" s="23" customFormat="1" ht="18" customHeight="1">
      <c r="A31" s="40"/>
      <c r="B31" s="44" t="s">
        <v>219</v>
      </c>
      <c r="C31" s="51">
        <v>-10920</v>
      </c>
      <c r="D31" s="51">
        <v>-10186</v>
      </c>
      <c r="E31" s="40" t="s">
        <v>189</v>
      </c>
      <c r="K31" s="29"/>
      <c r="L31" s="33"/>
      <c r="M31" s="29"/>
      <c r="N31" s="29"/>
      <c r="O31" s="29"/>
      <c r="P31" s="29"/>
      <c r="R31" s="32"/>
      <c r="X31" s="32"/>
      <c r="AD31" s="32"/>
      <c r="AJ31" s="32"/>
    </row>
    <row r="32" spans="1:36" s="23" customFormat="1" ht="18" customHeight="1">
      <c r="A32" s="40"/>
      <c r="B32" s="44" t="s">
        <v>219</v>
      </c>
      <c r="C32" s="51">
        <v>10716</v>
      </c>
      <c r="D32" s="51">
        <v>-10390</v>
      </c>
      <c r="E32" s="40" t="s">
        <v>175</v>
      </c>
      <c r="K32" s="29"/>
      <c r="L32" s="33"/>
      <c r="M32" s="29"/>
      <c r="N32" s="29"/>
      <c r="O32" s="29"/>
      <c r="P32" s="29"/>
      <c r="R32" s="32"/>
      <c r="X32" s="32"/>
      <c r="AD32" s="32"/>
      <c r="AJ32" s="32"/>
    </row>
    <row r="33" spans="1:36" s="23" customFormat="1" ht="18" customHeight="1">
      <c r="A33" s="40"/>
      <c r="B33" s="44" t="s">
        <v>218</v>
      </c>
      <c r="C33" s="51">
        <v>10648</v>
      </c>
      <c r="D33" s="51">
        <v>-10390</v>
      </c>
      <c r="E33" s="40" t="s">
        <v>175</v>
      </c>
      <c r="K33" s="29"/>
      <c r="L33" s="33"/>
      <c r="M33" s="29"/>
      <c r="N33" s="29"/>
      <c r="O33" s="29"/>
      <c r="P33" s="29"/>
      <c r="R33" s="32"/>
      <c r="X33" s="32"/>
      <c r="AD33" s="32"/>
      <c r="AJ33" s="32"/>
    </row>
    <row r="34" spans="1:36" ht="18" customHeight="1">
      <c r="A34" s="40"/>
      <c r="B34" s="44" t="s">
        <v>218</v>
      </c>
      <c r="C34" s="51">
        <v>-10920</v>
      </c>
      <c r="D34" s="51">
        <v>-10118</v>
      </c>
      <c r="E34" s="40" t="s">
        <v>189</v>
      </c>
    </row>
    <row r="35" spans="1:36" ht="18" customHeight="1">
      <c r="A35" s="40"/>
      <c r="B35" s="44" t="s">
        <v>218</v>
      </c>
      <c r="C35" s="51">
        <v>-10920</v>
      </c>
      <c r="D35" s="51">
        <v>10118</v>
      </c>
      <c r="E35" s="40" t="s">
        <v>189</v>
      </c>
    </row>
    <row r="36" spans="1:36" ht="18" customHeight="1">
      <c r="A36" s="40"/>
      <c r="B36" s="44" t="s">
        <v>218</v>
      </c>
      <c r="C36" s="51">
        <v>-10648</v>
      </c>
      <c r="D36" s="51">
        <v>-10390</v>
      </c>
      <c r="E36" s="40" t="s">
        <v>175</v>
      </c>
    </row>
    <row r="37" spans="1:36" ht="18" customHeight="1">
      <c r="A37" s="40"/>
      <c r="B37" s="44" t="s">
        <v>216</v>
      </c>
      <c r="C37" s="51">
        <v>9070</v>
      </c>
      <c r="D37" s="51">
        <v>10327</v>
      </c>
      <c r="E37" s="40" t="s">
        <v>217</v>
      </c>
    </row>
    <row r="38" spans="1:36" ht="18" customHeight="1">
      <c r="A38" s="40"/>
      <c r="B38" s="44" t="s">
        <v>216</v>
      </c>
      <c r="C38" s="51">
        <v>-8842</v>
      </c>
      <c r="D38" s="51">
        <v>-10327</v>
      </c>
      <c r="E38" s="40" t="s">
        <v>175</v>
      </c>
    </row>
    <row r="39" spans="1:36" ht="18" customHeight="1">
      <c r="A39" s="40"/>
      <c r="B39" s="44" t="s">
        <v>216</v>
      </c>
      <c r="C39" s="51">
        <v>-9062</v>
      </c>
      <c r="D39" s="51">
        <v>10327</v>
      </c>
      <c r="E39" s="40" t="s">
        <v>217</v>
      </c>
    </row>
    <row r="40" spans="1:36" ht="18" customHeight="1">
      <c r="A40" s="40"/>
      <c r="B40" s="44" t="s">
        <v>216</v>
      </c>
      <c r="C40" s="51">
        <v>9070</v>
      </c>
      <c r="D40" s="51">
        <v>-10327</v>
      </c>
      <c r="E40" s="40" t="s">
        <v>175</v>
      </c>
    </row>
    <row r="41" spans="1:36" ht="18" customHeight="1">
      <c r="A41" s="40"/>
      <c r="B41" s="44" t="s">
        <v>213</v>
      </c>
      <c r="C41" s="51">
        <v>-10742</v>
      </c>
      <c r="D41" s="51">
        <v>-10330</v>
      </c>
      <c r="E41" s="40" t="s">
        <v>175</v>
      </c>
    </row>
    <row r="42" spans="1:36" ht="18" customHeight="1">
      <c r="A42" s="40" t="s">
        <v>297</v>
      </c>
      <c r="B42" s="44" t="s">
        <v>194</v>
      </c>
      <c r="C42" s="51">
        <v>-10860</v>
      </c>
      <c r="D42" s="51">
        <v>10065</v>
      </c>
      <c r="E42" s="40" t="s">
        <v>189</v>
      </c>
    </row>
    <row r="43" spans="1:36" ht="18" customHeight="1">
      <c r="A43" s="40"/>
      <c r="B43" s="44" t="s">
        <v>193</v>
      </c>
      <c r="C43" s="51">
        <v>-8662</v>
      </c>
      <c r="D43" s="51">
        <v>10269</v>
      </c>
      <c r="E43" s="40" t="s">
        <v>175</v>
      </c>
    </row>
    <row r="44" spans="1:36" ht="18" customHeight="1">
      <c r="A44" s="40"/>
      <c r="B44" s="44" t="s">
        <v>192</v>
      </c>
      <c r="C44" s="51">
        <v>-6234</v>
      </c>
      <c r="D44" s="51">
        <v>10327</v>
      </c>
      <c r="E44" s="40" t="s">
        <v>175</v>
      </c>
    </row>
    <row r="45" spans="1:36" ht="18" customHeight="1">
      <c r="A45" s="40"/>
      <c r="B45" s="44" t="s">
        <v>192</v>
      </c>
      <c r="C45" s="51">
        <v>-10857</v>
      </c>
      <c r="D45" s="51">
        <v>9488</v>
      </c>
      <c r="E45" s="40" t="s">
        <v>189</v>
      </c>
    </row>
    <row r="46" spans="1:36" ht="18" customHeight="1">
      <c r="A46" s="40"/>
      <c r="B46" s="44" t="s">
        <v>191</v>
      </c>
      <c r="C46" s="51">
        <v>-10860</v>
      </c>
      <c r="D46" s="51">
        <v>-10330</v>
      </c>
      <c r="E46" s="40" t="s">
        <v>175</v>
      </c>
    </row>
    <row r="47" spans="1:36" ht="18" customHeight="1">
      <c r="A47" s="40"/>
      <c r="B47" s="44" t="s">
        <v>190</v>
      </c>
      <c r="C47" s="51">
        <v>-10860</v>
      </c>
      <c r="D47" s="51">
        <v>-10282</v>
      </c>
      <c r="E47" s="40" t="s">
        <v>189</v>
      </c>
    </row>
    <row r="48" spans="1:36" ht="18" customHeight="1">
      <c r="A48" s="22"/>
      <c r="B48" s="32"/>
      <c r="C48" s="52"/>
      <c r="D48" s="52"/>
      <c r="E48" s="23"/>
    </row>
    <row r="49" spans="1:5" ht="18" customHeight="1">
      <c r="A49" s="22"/>
      <c r="B49" s="32"/>
      <c r="C49" s="52"/>
      <c r="D49" s="52"/>
      <c r="E49" s="23"/>
    </row>
    <row r="50" spans="1:5" ht="18" customHeight="1">
      <c r="A50" s="22"/>
      <c r="B50" s="32"/>
      <c r="C50" s="52"/>
      <c r="D50" s="52"/>
      <c r="E50" s="23"/>
    </row>
    <row r="51" spans="1:5" ht="18" customHeight="1">
      <c r="A51" s="22"/>
      <c r="B51" s="32"/>
      <c r="C51" s="52"/>
      <c r="D51" s="52"/>
      <c r="E51" s="23"/>
    </row>
    <row r="52" spans="1:5" ht="18" customHeight="1">
      <c r="A52" s="22"/>
      <c r="B52" s="32"/>
      <c r="C52" s="52"/>
      <c r="D52" s="52"/>
      <c r="E52" s="23"/>
    </row>
    <row r="53" spans="1:5" ht="18" customHeight="1">
      <c r="A53" s="22"/>
      <c r="B53" s="32"/>
      <c r="C53" s="52"/>
      <c r="D53" s="52"/>
      <c r="E53" s="23"/>
    </row>
    <row r="54" spans="1:5" ht="18" customHeight="1">
      <c r="A54" s="22"/>
      <c r="B54" s="32"/>
      <c r="C54" s="52"/>
      <c r="D54" s="52"/>
      <c r="E54" s="23"/>
    </row>
    <row r="55" spans="1:5" ht="18" customHeight="1">
      <c r="A55" s="22"/>
      <c r="B55" s="32"/>
      <c r="C55" s="52"/>
      <c r="D55" s="52"/>
      <c r="E55" s="23"/>
    </row>
    <row r="56" spans="1:5" ht="18" customHeight="1">
      <c r="A56" s="22"/>
      <c r="B56" s="32"/>
      <c r="C56" s="52"/>
      <c r="D56" s="52"/>
      <c r="E56" s="23"/>
    </row>
    <row r="57" spans="1:5" ht="18" customHeight="1">
      <c r="A57" s="22"/>
      <c r="B57" s="32"/>
      <c r="C57" s="52"/>
      <c r="D57" s="52"/>
      <c r="E57" s="23"/>
    </row>
    <row r="58" spans="1:5" ht="18" customHeight="1">
      <c r="A58" s="22"/>
      <c r="B58" s="32"/>
      <c r="C58" s="52"/>
      <c r="D58" s="52"/>
      <c r="E58" s="23"/>
    </row>
    <row r="59" spans="1:5" ht="18" customHeight="1">
      <c r="A59" s="22"/>
      <c r="B59" s="32"/>
      <c r="C59" s="52"/>
      <c r="D59" s="52"/>
      <c r="E59" s="23"/>
    </row>
    <row r="60" spans="1:5" ht="18" customHeight="1">
      <c r="A60" s="22"/>
      <c r="B60" s="32"/>
      <c r="C60" s="52"/>
      <c r="D60" s="52"/>
      <c r="E60" s="23"/>
    </row>
    <row r="61" spans="1:5" ht="18" customHeight="1">
      <c r="A61" s="22"/>
      <c r="B61" s="32"/>
      <c r="C61" s="52"/>
      <c r="D61" s="52"/>
      <c r="E61" s="23"/>
    </row>
    <row r="62" spans="1:5" ht="18" customHeight="1">
      <c r="A62" s="22"/>
      <c r="B62" s="32"/>
      <c r="C62" s="52"/>
      <c r="D62" s="52"/>
      <c r="E62" s="23"/>
    </row>
    <row r="63" spans="1:5" ht="18" customHeight="1">
      <c r="A63" s="22"/>
      <c r="B63" s="32"/>
      <c r="C63" s="52"/>
      <c r="D63" s="52"/>
      <c r="E63" s="23"/>
    </row>
    <row r="64" spans="1:5" ht="18" customHeight="1">
      <c r="A64" s="22"/>
      <c r="B64" s="32"/>
      <c r="C64" s="52"/>
      <c r="D64" s="52"/>
      <c r="E64" s="23"/>
    </row>
    <row r="65" spans="1:5" ht="18" customHeight="1">
      <c r="A65" s="22"/>
      <c r="B65" s="32"/>
      <c r="C65" s="52"/>
      <c r="D65" s="52"/>
      <c r="E65" s="23"/>
    </row>
    <row r="66" spans="1:5" ht="18" customHeight="1">
      <c r="A66" s="22"/>
      <c r="B66" s="32"/>
      <c r="C66" s="52"/>
      <c r="D66" s="52"/>
      <c r="E66" s="23"/>
    </row>
    <row r="67" spans="1:5" ht="18" customHeight="1">
      <c r="A67" s="22"/>
      <c r="B67" s="32"/>
      <c r="C67" s="52"/>
      <c r="D67" s="52"/>
      <c r="E67" s="23"/>
    </row>
    <row r="68" spans="1:5" ht="18" customHeight="1">
      <c r="A68" s="22"/>
      <c r="B68" s="32"/>
      <c r="C68" s="52"/>
      <c r="D68" s="52"/>
      <c r="E68" s="23"/>
    </row>
    <row r="69" spans="1:5" ht="18" customHeight="1">
      <c r="A69" s="22"/>
      <c r="B69" s="32"/>
      <c r="C69" s="52"/>
      <c r="D69" s="52"/>
      <c r="E69" s="23"/>
    </row>
    <row r="70" spans="1:5" ht="18" customHeight="1">
      <c r="A70" s="22"/>
      <c r="B70" s="32"/>
      <c r="C70" s="52"/>
      <c r="D70" s="52"/>
      <c r="E70" s="23"/>
    </row>
    <row r="71" spans="1:5" ht="18" customHeight="1">
      <c r="A71" s="22"/>
      <c r="B71" s="32"/>
      <c r="C71" s="52"/>
      <c r="D71" s="52"/>
      <c r="E71" s="23"/>
    </row>
    <row r="72" spans="1:5" ht="18" customHeight="1">
      <c r="A72" s="22"/>
      <c r="B72" s="32"/>
      <c r="C72" s="52"/>
      <c r="D72" s="52"/>
      <c r="E72" s="23"/>
    </row>
    <row r="73" spans="1:5" ht="18" customHeight="1">
      <c r="A73" s="22"/>
      <c r="B73" s="32"/>
      <c r="C73" s="52"/>
      <c r="D73" s="52"/>
      <c r="E73" s="23"/>
    </row>
    <row r="74" spans="1:5" ht="18" customHeight="1">
      <c r="A74" s="22"/>
      <c r="B74" s="32"/>
      <c r="C74" s="52"/>
      <c r="D74" s="52"/>
      <c r="E74" s="23"/>
    </row>
    <row r="75" spans="1:5" ht="18" customHeight="1">
      <c r="A75" s="22"/>
      <c r="B75" s="32"/>
      <c r="C75" s="52"/>
      <c r="D75" s="52"/>
      <c r="E75" s="23"/>
    </row>
    <row r="76" spans="1:5" ht="18" customHeight="1">
      <c r="A76" s="22"/>
      <c r="B76" s="32"/>
      <c r="C76" s="52"/>
      <c r="D76" s="52"/>
      <c r="E76" s="23"/>
    </row>
  </sheetData>
  <phoneticPr fontId="8" type="noConversion"/>
  <printOptions horizontalCentered="1"/>
  <pageMargins left="0.39370078740157483" right="0.39370078740157483" top="0.39370078740157483" bottom="0.39370078740157483" header="0.19685039370078741" footer="0.19685039370078741"/>
  <pageSetup paperSize="9" scale="81" orientation="landscape" r:id="rId1"/>
  <headerFooter alignWithMargins="0">
    <oddFooter>&amp;C&amp;"Arial,標準"( &amp;P / &amp;N )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AQ76"/>
  <sheetViews>
    <sheetView zoomScale="75" workbookViewId="0">
      <selection activeCell="I35" sqref="I35"/>
    </sheetView>
  </sheetViews>
  <sheetFormatPr defaultRowHeight="18" customHeight="1"/>
  <cols>
    <col min="1" max="1" width="4.625" style="4" customWidth="1"/>
    <col min="2" max="2" width="25.625" style="31" customWidth="1"/>
    <col min="3" max="4" width="10.625" style="103" customWidth="1"/>
    <col min="5" max="5" width="6.625" style="12" customWidth="1"/>
    <col min="6" max="10" width="13.125" style="4" customWidth="1"/>
    <col min="11" max="11" width="4.625" style="4" customWidth="1"/>
    <col min="12" max="12" width="25.625" style="31" customWidth="1"/>
    <col min="13" max="14" width="10.625" style="55" customWidth="1"/>
    <col min="15" max="15" width="6.625" style="4" customWidth="1"/>
    <col min="16" max="17" width="4.625" style="23" customWidth="1"/>
    <col min="18" max="18" width="15.625" style="32" customWidth="1"/>
    <col min="19" max="20" width="7.625" style="23" customWidth="1"/>
    <col min="21" max="21" width="6.625" style="23" customWidth="1"/>
    <col min="22" max="23" width="4.625" style="23" customWidth="1"/>
    <col min="24" max="24" width="15.625" style="32" customWidth="1"/>
    <col min="25" max="26" width="7.625" style="23" customWidth="1"/>
    <col min="27" max="27" width="6.625" style="23" customWidth="1"/>
    <col min="28" max="29" width="4.625" style="23" customWidth="1"/>
    <col min="30" max="30" width="15.625" style="32" customWidth="1"/>
    <col min="31" max="32" width="7.625" style="23" customWidth="1"/>
    <col min="33" max="33" width="6.625" style="23" customWidth="1"/>
    <col min="34" max="34" width="10.625" style="23" customWidth="1"/>
    <col min="35" max="35" width="10.625" style="22" customWidth="1"/>
    <col min="36" max="36" width="9" style="32"/>
    <col min="37" max="43" width="9" style="22"/>
    <col min="44" max="16384" width="9" style="4"/>
  </cols>
  <sheetData>
    <row r="1" spans="1:43" ht="69.95" customHeight="1">
      <c r="A1" s="27" t="s">
        <v>30</v>
      </c>
      <c r="B1" s="36"/>
      <c r="K1" s="27"/>
      <c r="L1" s="36"/>
    </row>
    <row r="2" spans="1:43" ht="20.25" customHeight="1" thickBot="1">
      <c r="A2" s="17" t="s">
        <v>46</v>
      </c>
      <c r="K2" s="17" t="s">
        <v>96</v>
      </c>
    </row>
    <row r="3" spans="1:43" s="12" customFormat="1" ht="18" customHeight="1" thickBot="1">
      <c r="A3" s="19" t="s">
        <v>47</v>
      </c>
      <c r="B3" s="20" t="s">
        <v>48</v>
      </c>
      <c r="C3" s="96" t="s">
        <v>49</v>
      </c>
      <c r="D3" s="96" t="s">
        <v>50</v>
      </c>
      <c r="E3" s="21" t="s">
        <v>51</v>
      </c>
      <c r="F3" s="23"/>
      <c r="G3" s="23"/>
      <c r="H3" s="23"/>
      <c r="I3" s="23"/>
      <c r="J3" s="23"/>
      <c r="K3" s="19" t="s">
        <v>97</v>
      </c>
      <c r="L3" s="20" t="s">
        <v>98</v>
      </c>
      <c r="M3" s="96" t="s">
        <v>99</v>
      </c>
      <c r="N3" s="96" t="s">
        <v>100</v>
      </c>
      <c r="O3" s="21" t="s">
        <v>101</v>
      </c>
      <c r="P3" s="29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</row>
    <row r="4" spans="1:43" ht="18" customHeight="1">
      <c r="A4" s="39">
        <v>1</v>
      </c>
      <c r="B4" s="43" t="s">
        <v>232</v>
      </c>
      <c r="C4" s="54">
        <v>7067</v>
      </c>
      <c r="D4" s="54">
        <v>-10327</v>
      </c>
      <c r="E4" s="39" t="s">
        <v>175</v>
      </c>
      <c r="F4" s="23"/>
      <c r="G4" s="23"/>
      <c r="H4" s="23"/>
      <c r="I4" s="23"/>
      <c r="J4" s="23"/>
      <c r="K4" s="39">
        <v>10</v>
      </c>
      <c r="L4" s="43" t="s">
        <v>232</v>
      </c>
      <c r="M4" s="54">
        <v>-3853</v>
      </c>
      <c r="N4" s="54">
        <v>-20717</v>
      </c>
      <c r="O4" s="39" t="s">
        <v>292</v>
      </c>
      <c r="P4" s="101"/>
      <c r="Q4" s="101"/>
      <c r="R4" s="101"/>
      <c r="AE4" s="22"/>
      <c r="AF4" s="22"/>
      <c r="AG4" s="22"/>
      <c r="AH4" s="22"/>
    </row>
    <row r="5" spans="1:43" ht="18" customHeight="1">
      <c r="A5" s="40">
        <v>2</v>
      </c>
      <c r="B5" s="44" t="s">
        <v>232</v>
      </c>
      <c r="C5" s="51">
        <v>-7059</v>
      </c>
      <c r="D5" s="51">
        <v>10327</v>
      </c>
      <c r="E5" s="40" t="s">
        <v>175</v>
      </c>
      <c r="F5" s="23"/>
      <c r="G5" s="22"/>
      <c r="H5" s="22"/>
      <c r="I5" s="22"/>
      <c r="J5" s="22"/>
      <c r="K5" s="40">
        <v>11</v>
      </c>
      <c r="L5" s="44" t="s">
        <v>232</v>
      </c>
      <c r="M5" s="51">
        <v>17987</v>
      </c>
      <c r="N5" s="51">
        <v>-63</v>
      </c>
      <c r="O5" s="40" t="s">
        <v>292</v>
      </c>
      <c r="P5" s="101"/>
      <c r="Q5" s="101"/>
      <c r="R5" s="101"/>
    </row>
    <row r="6" spans="1:43" ht="18" customHeight="1">
      <c r="A6" s="40">
        <v>3</v>
      </c>
      <c r="B6" s="44" t="s">
        <v>232</v>
      </c>
      <c r="C6" s="51">
        <v>-6839</v>
      </c>
      <c r="D6" s="51">
        <v>-10327</v>
      </c>
      <c r="E6" s="40" t="s">
        <v>175</v>
      </c>
      <c r="F6" s="23"/>
      <c r="G6" s="22"/>
      <c r="H6" s="22"/>
      <c r="I6" s="22"/>
      <c r="J6" s="22"/>
      <c r="K6" s="40">
        <v>12</v>
      </c>
      <c r="L6" s="44" t="s">
        <v>232</v>
      </c>
      <c r="M6" s="51">
        <v>17987</v>
      </c>
      <c r="N6" s="51">
        <v>63</v>
      </c>
      <c r="O6" s="40" t="s">
        <v>175</v>
      </c>
      <c r="P6" s="101"/>
      <c r="Q6" s="101"/>
      <c r="R6" s="101"/>
    </row>
    <row r="7" spans="1:43" ht="18" customHeight="1">
      <c r="A7" s="40">
        <v>4</v>
      </c>
      <c r="B7" s="44" t="s">
        <v>232</v>
      </c>
      <c r="C7" s="51">
        <v>7067</v>
      </c>
      <c r="D7" s="51">
        <v>10327</v>
      </c>
      <c r="E7" s="40" t="s">
        <v>175</v>
      </c>
      <c r="F7" s="23"/>
      <c r="G7" s="22"/>
      <c r="H7" s="22"/>
      <c r="I7" s="22"/>
      <c r="J7" s="22"/>
      <c r="K7" s="40">
        <v>13</v>
      </c>
      <c r="L7" s="44" t="s">
        <v>232</v>
      </c>
      <c r="M7" s="51">
        <v>-3853</v>
      </c>
      <c r="N7" s="51">
        <v>63</v>
      </c>
      <c r="O7" s="40" t="s">
        <v>175</v>
      </c>
      <c r="P7" s="101"/>
      <c r="Q7" s="101"/>
      <c r="R7" s="101"/>
    </row>
    <row r="8" spans="1:43" ht="18" customHeight="1">
      <c r="A8" s="40"/>
      <c r="B8" s="44"/>
      <c r="C8" s="51"/>
      <c r="D8" s="51"/>
      <c r="E8" s="40"/>
      <c r="F8" s="23"/>
      <c r="G8" s="22"/>
      <c r="H8" s="22"/>
      <c r="I8" s="22"/>
      <c r="J8" s="22"/>
      <c r="K8" s="40">
        <v>14</v>
      </c>
      <c r="L8" s="44" t="s">
        <v>232</v>
      </c>
      <c r="M8" s="51">
        <v>-3853</v>
      </c>
      <c r="N8" s="51">
        <v>20717</v>
      </c>
      <c r="O8" s="40" t="s">
        <v>175</v>
      </c>
      <c r="P8" s="101"/>
      <c r="Q8" s="101"/>
      <c r="R8" s="101"/>
    </row>
    <row r="9" spans="1:43" ht="18" customHeight="1">
      <c r="A9" s="40"/>
      <c r="B9" s="44"/>
      <c r="C9" s="51"/>
      <c r="D9" s="51"/>
      <c r="E9" s="40"/>
      <c r="F9" s="23"/>
      <c r="G9" s="22"/>
      <c r="H9" s="22"/>
      <c r="I9" s="22"/>
      <c r="J9" s="22"/>
      <c r="K9" s="40">
        <v>15</v>
      </c>
      <c r="L9" s="44" t="s">
        <v>232</v>
      </c>
      <c r="M9" s="51">
        <v>17987</v>
      </c>
      <c r="N9" s="51">
        <v>-20717</v>
      </c>
      <c r="O9" s="40" t="s">
        <v>175</v>
      </c>
      <c r="P9" s="101"/>
      <c r="Q9" s="101"/>
      <c r="R9" s="101"/>
    </row>
    <row r="10" spans="1:43" ht="18" customHeight="1">
      <c r="A10" s="40"/>
      <c r="B10" s="44"/>
      <c r="C10" s="51"/>
      <c r="D10" s="51"/>
      <c r="E10" s="40"/>
      <c r="F10" s="23"/>
      <c r="G10" s="22"/>
      <c r="H10" s="22"/>
      <c r="I10" s="22"/>
      <c r="J10" s="22"/>
      <c r="K10" s="40">
        <v>16</v>
      </c>
      <c r="L10" s="44" t="s">
        <v>232</v>
      </c>
      <c r="M10" s="51">
        <v>17987</v>
      </c>
      <c r="N10" s="51">
        <v>20717</v>
      </c>
      <c r="O10" s="40" t="s">
        <v>175</v>
      </c>
      <c r="P10" s="101"/>
      <c r="Q10" s="101"/>
      <c r="R10" s="101"/>
    </row>
    <row r="11" spans="1:43" ht="18" customHeight="1">
      <c r="A11" s="40"/>
      <c r="B11" s="44"/>
      <c r="C11" s="51"/>
      <c r="D11" s="51"/>
      <c r="E11" s="40"/>
      <c r="F11" s="23"/>
      <c r="G11" s="22"/>
      <c r="H11" s="22"/>
      <c r="I11" s="22"/>
      <c r="J11" s="22"/>
      <c r="K11" s="40">
        <v>17</v>
      </c>
      <c r="L11" s="44" t="s">
        <v>232</v>
      </c>
      <c r="M11" s="51">
        <v>-17759</v>
      </c>
      <c r="N11" s="51">
        <v>63</v>
      </c>
      <c r="O11" s="40" t="s">
        <v>175</v>
      </c>
      <c r="P11" s="101"/>
      <c r="Q11" s="101"/>
      <c r="R11" s="101"/>
    </row>
    <row r="12" spans="1:43" ht="18" customHeight="1">
      <c r="A12" s="40"/>
      <c r="B12" s="44"/>
      <c r="C12" s="51"/>
      <c r="D12" s="51"/>
      <c r="E12" s="40"/>
      <c r="F12" s="23"/>
      <c r="G12" s="22"/>
      <c r="H12" s="22"/>
      <c r="I12" s="22"/>
      <c r="J12" s="22"/>
      <c r="K12" s="40">
        <v>18</v>
      </c>
      <c r="L12" s="44" t="s">
        <v>232</v>
      </c>
      <c r="M12" s="51">
        <v>-17979</v>
      </c>
      <c r="N12" s="51">
        <v>20717</v>
      </c>
      <c r="O12" s="40" t="s">
        <v>175</v>
      </c>
      <c r="P12" s="101"/>
      <c r="Q12" s="101"/>
      <c r="R12" s="101"/>
    </row>
    <row r="13" spans="1:43" s="2" customFormat="1" ht="18" customHeight="1">
      <c r="A13" s="76"/>
      <c r="B13" s="89"/>
      <c r="C13" s="97"/>
      <c r="D13" s="97"/>
      <c r="E13" s="76"/>
      <c r="F13" s="29"/>
      <c r="G13" s="30"/>
      <c r="H13" s="30"/>
      <c r="I13" s="30"/>
      <c r="J13" s="30"/>
      <c r="K13" s="76"/>
      <c r="L13" s="89"/>
      <c r="M13" s="97"/>
      <c r="N13" s="97"/>
      <c r="O13" s="76"/>
      <c r="P13" s="102"/>
      <c r="Q13" s="102"/>
      <c r="R13" s="102"/>
      <c r="S13" s="29"/>
      <c r="T13" s="29"/>
      <c r="U13" s="29"/>
      <c r="V13" s="29"/>
      <c r="W13" s="29"/>
      <c r="X13" s="33"/>
      <c r="Y13" s="29"/>
      <c r="Z13" s="29"/>
      <c r="AA13" s="29"/>
      <c r="AB13" s="29"/>
      <c r="AC13" s="29"/>
      <c r="AD13" s="33"/>
      <c r="AE13" s="29"/>
      <c r="AF13" s="29"/>
      <c r="AG13" s="29"/>
      <c r="AH13" s="29"/>
      <c r="AI13" s="30"/>
      <c r="AJ13" s="33"/>
      <c r="AK13" s="30"/>
      <c r="AL13" s="30"/>
      <c r="AM13" s="30"/>
      <c r="AN13" s="30"/>
      <c r="AO13" s="30"/>
      <c r="AP13" s="30"/>
      <c r="AQ13" s="30"/>
    </row>
    <row r="14" spans="1:43" s="2" customFormat="1" ht="18" customHeight="1">
      <c r="A14" s="29"/>
      <c r="B14" s="33"/>
      <c r="C14" s="53"/>
      <c r="D14" s="53"/>
      <c r="E14" s="29"/>
      <c r="F14" s="29"/>
      <c r="G14" s="30"/>
      <c r="H14" s="30"/>
      <c r="I14" s="30"/>
      <c r="J14" s="30"/>
      <c r="K14" s="29"/>
      <c r="L14" s="33"/>
      <c r="M14" s="53"/>
      <c r="N14" s="53"/>
      <c r="O14" s="29"/>
      <c r="P14" s="102"/>
      <c r="Q14" s="102"/>
      <c r="R14" s="102"/>
      <c r="S14" s="29"/>
      <c r="T14" s="29"/>
      <c r="U14" s="29"/>
      <c r="V14" s="29"/>
      <c r="W14" s="29"/>
      <c r="X14" s="33"/>
      <c r="Y14" s="29"/>
      <c r="Z14" s="29"/>
      <c r="AA14" s="29"/>
      <c r="AB14" s="29"/>
      <c r="AC14" s="29"/>
      <c r="AD14" s="33"/>
      <c r="AE14" s="29"/>
      <c r="AF14" s="29"/>
      <c r="AG14" s="29"/>
      <c r="AH14" s="29"/>
      <c r="AI14" s="30"/>
      <c r="AJ14" s="33"/>
      <c r="AK14" s="30"/>
      <c r="AL14" s="30"/>
      <c r="AM14" s="30"/>
      <c r="AN14" s="30"/>
      <c r="AO14" s="30"/>
      <c r="AP14" s="30"/>
      <c r="AQ14" s="30"/>
    </row>
    <row r="15" spans="1:43" s="2" customFormat="1" ht="18" customHeight="1">
      <c r="A15" s="29"/>
      <c r="B15" s="33"/>
      <c r="C15" s="53"/>
      <c r="D15" s="53"/>
      <c r="E15" s="29"/>
      <c r="F15" s="29"/>
      <c r="G15" s="30"/>
      <c r="H15" s="30"/>
      <c r="I15" s="30"/>
      <c r="J15" s="30"/>
      <c r="K15" s="29"/>
      <c r="L15" s="33"/>
      <c r="M15" s="53"/>
      <c r="N15" s="53"/>
      <c r="O15" s="29"/>
      <c r="P15" s="102"/>
      <c r="Q15" s="102"/>
      <c r="R15" s="102"/>
      <c r="S15" s="29"/>
      <c r="T15" s="29"/>
      <c r="U15" s="29"/>
      <c r="V15" s="29"/>
      <c r="W15" s="29"/>
      <c r="X15" s="33"/>
      <c r="Y15" s="29"/>
      <c r="Z15" s="29"/>
      <c r="AA15" s="29"/>
      <c r="AB15" s="29"/>
      <c r="AC15" s="29"/>
      <c r="AD15" s="33"/>
      <c r="AE15" s="29"/>
      <c r="AF15" s="29"/>
      <c r="AG15" s="29"/>
      <c r="AH15" s="29"/>
      <c r="AI15" s="30"/>
      <c r="AJ15" s="33"/>
      <c r="AK15" s="30"/>
      <c r="AL15" s="30"/>
      <c r="AM15" s="30"/>
      <c r="AN15" s="30"/>
      <c r="AO15" s="30"/>
      <c r="AP15" s="30"/>
      <c r="AQ15" s="30"/>
    </row>
    <row r="16" spans="1:43" s="2" customFormat="1" ht="18" customHeight="1">
      <c r="A16" s="29"/>
      <c r="B16" s="33"/>
      <c r="C16" s="53"/>
      <c r="D16" s="53"/>
      <c r="E16" s="29"/>
      <c r="F16" s="29"/>
      <c r="G16" s="30"/>
      <c r="H16" s="30"/>
      <c r="I16" s="30"/>
      <c r="J16" s="30"/>
      <c r="K16" s="29"/>
      <c r="L16" s="33"/>
      <c r="M16" s="53"/>
      <c r="N16" s="53"/>
      <c r="O16" s="29"/>
      <c r="P16" s="102"/>
      <c r="Q16" s="102"/>
      <c r="R16" s="102"/>
      <c r="S16" s="29"/>
      <c r="T16" s="29"/>
      <c r="U16" s="29"/>
      <c r="V16" s="29"/>
      <c r="W16" s="29"/>
      <c r="X16" s="33"/>
      <c r="Y16" s="29"/>
      <c r="Z16" s="29"/>
      <c r="AA16" s="29"/>
      <c r="AB16" s="29"/>
      <c r="AC16" s="29"/>
      <c r="AD16" s="33"/>
      <c r="AE16" s="29"/>
      <c r="AF16" s="29"/>
      <c r="AG16" s="29"/>
      <c r="AH16" s="29"/>
      <c r="AI16" s="30"/>
      <c r="AJ16" s="33"/>
      <c r="AK16" s="30"/>
      <c r="AL16" s="30"/>
      <c r="AM16" s="30"/>
      <c r="AN16" s="30"/>
      <c r="AO16" s="30"/>
      <c r="AP16" s="30"/>
      <c r="AQ16" s="30"/>
    </row>
    <row r="17" spans="1:43" s="2" customFormat="1" ht="18" customHeight="1">
      <c r="A17" s="29"/>
      <c r="B17" s="33"/>
      <c r="C17" s="53"/>
      <c r="D17" s="53"/>
      <c r="E17" s="29"/>
      <c r="F17" s="29"/>
      <c r="G17" s="30"/>
      <c r="H17" s="30"/>
      <c r="I17" s="30"/>
      <c r="J17" s="30"/>
      <c r="K17" s="29"/>
      <c r="L17" s="33"/>
      <c r="M17" s="53"/>
      <c r="N17" s="53"/>
      <c r="O17" s="29"/>
      <c r="P17" s="102"/>
      <c r="Q17" s="102"/>
      <c r="R17" s="102"/>
      <c r="S17" s="29"/>
      <c r="T17" s="29"/>
      <c r="U17" s="29"/>
      <c r="V17" s="29"/>
      <c r="W17" s="29"/>
      <c r="X17" s="33"/>
      <c r="Y17" s="29"/>
      <c r="Z17" s="29"/>
      <c r="AA17" s="29"/>
      <c r="AB17" s="29"/>
      <c r="AC17" s="29"/>
      <c r="AD17" s="33"/>
      <c r="AE17" s="29"/>
      <c r="AF17" s="29"/>
      <c r="AG17" s="29"/>
      <c r="AH17" s="29"/>
      <c r="AI17" s="30"/>
      <c r="AJ17" s="33"/>
      <c r="AK17" s="30"/>
      <c r="AL17" s="30"/>
      <c r="AM17" s="30"/>
      <c r="AN17" s="30"/>
      <c r="AO17" s="30"/>
      <c r="AP17" s="30"/>
      <c r="AQ17" s="30"/>
    </row>
    <row r="18" spans="1:43" s="2" customFormat="1" ht="18" customHeight="1">
      <c r="A18" s="29"/>
      <c r="B18" s="33"/>
      <c r="C18" s="53"/>
      <c r="D18" s="53"/>
      <c r="E18" s="29"/>
      <c r="F18" s="29"/>
      <c r="G18" s="30"/>
      <c r="H18" s="30"/>
      <c r="I18" s="30"/>
      <c r="J18" s="30"/>
      <c r="K18" s="29"/>
      <c r="L18" s="33"/>
      <c r="M18" s="53"/>
      <c r="N18" s="53"/>
      <c r="O18" s="29"/>
      <c r="P18" s="102"/>
      <c r="Q18" s="102"/>
      <c r="R18" s="102"/>
      <c r="S18" s="29"/>
      <c r="T18" s="29"/>
      <c r="U18" s="29"/>
      <c r="V18" s="29"/>
      <c r="W18" s="29"/>
      <c r="X18" s="33"/>
      <c r="Y18" s="29"/>
      <c r="Z18" s="29"/>
      <c r="AA18" s="29"/>
      <c r="AB18" s="29"/>
      <c r="AC18" s="29"/>
      <c r="AD18" s="33"/>
      <c r="AE18" s="29"/>
      <c r="AF18" s="29"/>
      <c r="AG18" s="29"/>
      <c r="AH18" s="29"/>
      <c r="AI18" s="30"/>
      <c r="AJ18" s="33"/>
      <c r="AK18" s="30"/>
      <c r="AL18" s="30"/>
      <c r="AM18" s="30"/>
      <c r="AN18" s="30"/>
      <c r="AO18" s="30"/>
      <c r="AP18" s="30"/>
      <c r="AQ18" s="30"/>
    </row>
    <row r="19" spans="1:43" s="2" customFormat="1" ht="18" customHeight="1">
      <c r="A19" s="29"/>
      <c r="B19" s="33"/>
      <c r="C19" s="53"/>
      <c r="D19" s="53"/>
      <c r="E19" s="29"/>
      <c r="F19" s="29"/>
      <c r="G19" s="30"/>
      <c r="H19" s="30"/>
      <c r="I19" s="30"/>
      <c r="J19" s="30"/>
      <c r="K19" s="29"/>
      <c r="L19" s="33"/>
      <c r="M19" s="53"/>
      <c r="N19" s="53"/>
      <c r="O19" s="29"/>
      <c r="P19" s="102"/>
      <c r="Q19" s="102"/>
      <c r="R19" s="102"/>
      <c r="S19" s="29"/>
      <c r="T19" s="29"/>
      <c r="U19" s="29"/>
      <c r="V19" s="29"/>
      <c r="W19" s="29"/>
      <c r="X19" s="33"/>
      <c r="Y19" s="29"/>
      <c r="Z19" s="29"/>
      <c r="AA19" s="29"/>
      <c r="AB19" s="29"/>
      <c r="AC19" s="29"/>
      <c r="AD19" s="33"/>
      <c r="AE19" s="29"/>
      <c r="AF19" s="29"/>
      <c r="AG19" s="29"/>
      <c r="AH19" s="29"/>
      <c r="AI19" s="30"/>
      <c r="AJ19" s="33"/>
      <c r="AK19" s="30"/>
      <c r="AL19" s="30"/>
      <c r="AM19" s="30"/>
      <c r="AN19" s="30"/>
      <c r="AO19" s="30"/>
      <c r="AP19" s="30"/>
      <c r="AQ19" s="30"/>
    </row>
    <row r="20" spans="1:43" s="2" customFormat="1" ht="18" customHeight="1">
      <c r="A20" s="29"/>
      <c r="B20" s="33"/>
      <c r="C20" s="53"/>
      <c r="D20" s="53"/>
      <c r="E20" s="29"/>
      <c r="F20" s="29"/>
      <c r="G20" s="30"/>
      <c r="H20" s="30"/>
      <c r="I20" s="30"/>
      <c r="J20" s="30"/>
      <c r="K20" s="29"/>
      <c r="L20" s="33"/>
      <c r="M20" s="53"/>
      <c r="N20" s="53"/>
      <c r="O20" s="29"/>
      <c r="P20" s="102"/>
      <c r="Q20" s="102"/>
      <c r="R20" s="102"/>
      <c r="S20" s="29"/>
      <c r="T20" s="29"/>
      <c r="U20" s="29"/>
      <c r="V20" s="29"/>
      <c r="W20" s="29"/>
      <c r="X20" s="33"/>
      <c r="Y20" s="29"/>
      <c r="Z20" s="29"/>
      <c r="AA20" s="29"/>
      <c r="AB20" s="29"/>
      <c r="AC20" s="29"/>
      <c r="AD20" s="33"/>
      <c r="AE20" s="29"/>
      <c r="AF20" s="29"/>
      <c r="AG20" s="29"/>
      <c r="AH20" s="29"/>
      <c r="AI20" s="30"/>
      <c r="AJ20" s="33"/>
      <c r="AK20" s="30"/>
      <c r="AL20" s="30"/>
      <c r="AM20" s="30"/>
      <c r="AN20" s="30"/>
      <c r="AO20" s="30"/>
      <c r="AP20" s="30"/>
      <c r="AQ20" s="30"/>
    </row>
    <row r="21" spans="1:43" s="2" customFormat="1" ht="18" customHeight="1">
      <c r="A21" s="29"/>
      <c r="B21" s="33"/>
      <c r="C21" s="53"/>
      <c r="D21" s="53"/>
      <c r="E21" s="29"/>
      <c r="F21" s="29"/>
      <c r="G21" s="30"/>
      <c r="H21" s="30"/>
      <c r="I21" s="30"/>
      <c r="J21" s="30"/>
      <c r="K21" s="29"/>
      <c r="L21" s="33"/>
      <c r="M21" s="53"/>
      <c r="N21" s="53"/>
      <c r="O21" s="29"/>
      <c r="P21" s="102"/>
      <c r="Q21" s="102"/>
      <c r="R21" s="102"/>
      <c r="S21" s="29"/>
      <c r="T21" s="29"/>
      <c r="U21" s="29"/>
      <c r="V21" s="29"/>
      <c r="W21" s="29"/>
      <c r="X21" s="33"/>
      <c r="Y21" s="29"/>
      <c r="Z21" s="29"/>
      <c r="AA21" s="29"/>
      <c r="AB21" s="29"/>
      <c r="AC21" s="29"/>
      <c r="AD21" s="33"/>
      <c r="AE21" s="29"/>
      <c r="AF21" s="29"/>
      <c r="AG21" s="29"/>
      <c r="AH21" s="29"/>
      <c r="AI21" s="30"/>
      <c r="AJ21" s="33"/>
      <c r="AK21" s="30"/>
      <c r="AL21" s="30"/>
      <c r="AM21" s="30"/>
      <c r="AN21" s="30"/>
      <c r="AO21" s="30"/>
      <c r="AP21" s="30"/>
      <c r="AQ21" s="30"/>
    </row>
    <row r="22" spans="1:43" s="2" customFormat="1" ht="18" customHeight="1">
      <c r="A22" s="29"/>
      <c r="B22" s="33"/>
      <c r="C22" s="53"/>
      <c r="D22" s="53"/>
      <c r="E22" s="29"/>
      <c r="F22" s="29"/>
      <c r="G22" s="30"/>
      <c r="H22" s="30"/>
      <c r="I22" s="30"/>
      <c r="J22" s="30"/>
      <c r="K22" s="29"/>
      <c r="L22" s="33"/>
      <c r="M22" s="53"/>
      <c r="N22" s="53"/>
      <c r="O22" s="29"/>
      <c r="P22" s="102"/>
      <c r="Q22" s="102"/>
      <c r="R22" s="102"/>
      <c r="S22" s="29"/>
      <c r="T22" s="29"/>
      <c r="U22" s="29"/>
      <c r="V22" s="29"/>
      <c r="W22" s="29"/>
      <c r="X22" s="33"/>
      <c r="Y22" s="29"/>
      <c r="Z22" s="29"/>
      <c r="AA22" s="29"/>
      <c r="AB22" s="29"/>
      <c r="AC22" s="29"/>
      <c r="AD22" s="33"/>
      <c r="AE22" s="29"/>
      <c r="AF22" s="29"/>
      <c r="AG22" s="29"/>
      <c r="AH22" s="29"/>
      <c r="AI22" s="30"/>
      <c r="AJ22" s="33"/>
      <c r="AK22" s="30"/>
      <c r="AL22" s="30"/>
      <c r="AM22" s="30"/>
      <c r="AN22" s="30"/>
      <c r="AO22" s="30"/>
      <c r="AP22" s="30"/>
      <c r="AQ22" s="30"/>
    </row>
    <row r="23" spans="1:43" s="2" customFormat="1" ht="18" customHeight="1">
      <c r="A23" s="29"/>
      <c r="B23" s="33"/>
      <c r="C23" s="53"/>
      <c r="D23" s="53"/>
      <c r="E23" s="29"/>
      <c r="F23" s="29"/>
      <c r="G23" s="30"/>
      <c r="H23" s="30"/>
      <c r="I23" s="30"/>
      <c r="J23" s="30"/>
      <c r="K23" s="29"/>
      <c r="L23" s="33"/>
      <c r="M23" s="53"/>
      <c r="N23" s="53"/>
      <c r="O23" s="29"/>
      <c r="P23" s="102"/>
      <c r="Q23" s="102"/>
      <c r="R23" s="102"/>
      <c r="S23" s="29"/>
      <c r="T23" s="29"/>
      <c r="U23" s="29"/>
      <c r="V23" s="29"/>
      <c r="W23" s="29"/>
      <c r="X23" s="33"/>
      <c r="Y23" s="29"/>
      <c r="Z23" s="29"/>
      <c r="AA23" s="29"/>
      <c r="AB23" s="29"/>
      <c r="AC23" s="29"/>
      <c r="AD23" s="33"/>
      <c r="AE23" s="29"/>
      <c r="AF23" s="29"/>
      <c r="AG23" s="29"/>
      <c r="AH23" s="29"/>
      <c r="AI23" s="30"/>
      <c r="AJ23" s="33"/>
      <c r="AK23" s="30"/>
      <c r="AL23" s="30"/>
      <c r="AM23" s="30"/>
      <c r="AN23" s="30"/>
      <c r="AO23" s="30"/>
      <c r="AP23" s="30"/>
      <c r="AQ23" s="30"/>
    </row>
    <row r="24" spans="1:43" s="2" customFormat="1" ht="18" customHeight="1">
      <c r="A24" s="29"/>
      <c r="B24" s="33"/>
      <c r="C24" s="53"/>
      <c r="D24" s="53"/>
      <c r="E24" s="29"/>
      <c r="F24" s="29"/>
      <c r="G24" s="30"/>
      <c r="H24" s="30"/>
      <c r="I24" s="30"/>
      <c r="J24" s="30"/>
      <c r="K24" s="29"/>
      <c r="L24" s="33"/>
      <c r="M24" s="53"/>
      <c r="N24" s="53"/>
      <c r="O24" s="29"/>
      <c r="P24" s="102"/>
      <c r="Q24" s="102"/>
      <c r="R24" s="102"/>
      <c r="S24" s="29"/>
      <c r="T24" s="29"/>
      <c r="U24" s="29"/>
      <c r="V24" s="29"/>
      <c r="W24" s="29"/>
      <c r="X24" s="33"/>
      <c r="Y24" s="29"/>
      <c r="Z24" s="29"/>
      <c r="AA24" s="29"/>
      <c r="AB24" s="29"/>
      <c r="AC24" s="29"/>
      <c r="AD24" s="33"/>
      <c r="AE24" s="29"/>
      <c r="AF24" s="29"/>
      <c r="AG24" s="29"/>
      <c r="AH24" s="29"/>
      <c r="AI24" s="30"/>
      <c r="AJ24" s="33"/>
      <c r="AK24" s="30"/>
      <c r="AL24" s="30"/>
      <c r="AM24" s="30"/>
      <c r="AN24" s="30"/>
      <c r="AO24" s="30"/>
      <c r="AP24" s="30"/>
      <c r="AQ24" s="30"/>
    </row>
    <row r="25" spans="1:43" s="2" customFormat="1" ht="18" customHeight="1">
      <c r="A25" s="29"/>
      <c r="B25" s="33"/>
      <c r="C25" s="53"/>
      <c r="D25" s="53"/>
      <c r="E25" s="29"/>
      <c r="F25" s="29"/>
      <c r="G25" s="30"/>
      <c r="H25" s="30"/>
      <c r="I25" s="30"/>
      <c r="J25" s="30"/>
      <c r="K25" s="29"/>
      <c r="L25" s="33"/>
      <c r="M25" s="53"/>
      <c r="N25" s="53"/>
      <c r="O25" s="29"/>
      <c r="P25" s="102"/>
      <c r="Q25" s="102"/>
      <c r="R25" s="102"/>
      <c r="S25" s="29"/>
      <c r="T25" s="29"/>
      <c r="U25" s="29"/>
      <c r="V25" s="29"/>
      <c r="W25" s="29"/>
      <c r="X25" s="33"/>
      <c r="Y25" s="29"/>
      <c r="Z25" s="29"/>
      <c r="AA25" s="29"/>
      <c r="AB25" s="29"/>
      <c r="AC25" s="29"/>
      <c r="AD25" s="33"/>
      <c r="AE25" s="29"/>
      <c r="AF25" s="29"/>
      <c r="AG25" s="29"/>
      <c r="AH25" s="29"/>
      <c r="AI25" s="30"/>
      <c r="AJ25" s="33"/>
      <c r="AK25" s="30"/>
      <c r="AL25" s="30"/>
      <c r="AM25" s="30"/>
      <c r="AN25" s="30"/>
      <c r="AO25" s="30"/>
      <c r="AP25" s="30"/>
      <c r="AQ25" s="30"/>
    </row>
    <row r="26" spans="1:43" s="2" customFormat="1" ht="18" customHeight="1">
      <c r="A26" s="29"/>
      <c r="B26" s="33"/>
      <c r="C26" s="53"/>
      <c r="D26" s="53"/>
      <c r="E26" s="29"/>
      <c r="F26" s="29"/>
      <c r="G26" s="30"/>
      <c r="H26" s="30"/>
      <c r="I26" s="30"/>
      <c r="J26" s="30"/>
      <c r="K26" s="29"/>
      <c r="L26" s="33"/>
      <c r="M26" s="53"/>
      <c r="N26" s="53"/>
      <c r="O26" s="29"/>
      <c r="P26" s="102"/>
      <c r="Q26" s="102"/>
      <c r="R26" s="102"/>
      <c r="S26" s="29"/>
      <c r="T26" s="29"/>
      <c r="U26" s="29"/>
      <c r="V26" s="29"/>
      <c r="W26" s="29"/>
      <c r="X26" s="33"/>
      <c r="Y26" s="29"/>
      <c r="Z26" s="29"/>
      <c r="AA26" s="29"/>
      <c r="AB26" s="29"/>
      <c r="AC26" s="29"/>
      <c r="AD26" s="33"/>
      <c r="AE26" s="29"/>
      <c r="AF26" s="29"/>
      <c r="AG26" s="29"/>
      <c r="AH26" s="29"/>
      <c r="AI26" s="30"/>
      <c r="AJ26" s="33"/>
      <c r="AK26" s="30"/>
      <c r="AL26" s="30"/>
      <c r="AM26" s="30"/>
      <c r="AN26" s="30"/>
      <c r="AO26" s="30"/>
      <c r="AP26" s="30"/>
      <c r="AQ26" s="30"/>
    </row>
    <row r="27" spans="1:43" s="2" customFormat="1" ht="18" customHeight="1">
      <c r="A27" s="29"/>
      <c r="B27" s="33"/>
      <c r="C27" s="53"/>
      <c r="D27" s="53"/>
      <c r="E27" s="29"/>
      <c r="F27" s="29"/>
      <c r="G27" s="30"/>
      <c r="H27" s="30"/>
      <c r="I27" s="30"/>
      <c r="J27" s="30"/>
      <c r="K27" s="29"/>
      <c r="L27" s="33"/>
      <c r="M27" s="53"/>
      <c r="N27" s="53"/>
      <c r="O27" s="29"/>
      <c r="P27" s="102"/>
      <c r="Q27" s="102"/>
      <c r="R27" s="102"/>
      <c r="S27" s="29"/>
      <c r="T27" s="29"/>
      <c r="U27" s="29"/>
      <c r="V27" s="29"/>
      <c r="W27" s="29"/>
      <c r="X27" s="33"/>
      <c r="Y27" s="29"/>
      <c r="Z27" s="29"/>
      <c r="AA27" s="29"/>
      <c r="AB27" s="29"/>
      <c r="AC27" s="29"/>
      <c r="AD27" s="33"/>
      <c r="AE27" s="29"/>
      <c r="AF27" s="29"/>
      <c r="AG27" s="29"/>
      <c r="AH27" s="29"/>
      <c r="AI27" s="30"/>
      <c r="AJ27" s="33"/>
      <c r="AK27" s="30"/>
      <c r="AL27" s="30"/>
      <c r="AM27" s="30"/>
      <c r="AN27" s="30"/>
      <c r="AO27" s="30"/>
      <c r="AP27" s="30"/>
      <c r="AQ27" s="30"/>
    </row>
    <row r="28" spans="1:43" s="2" customFormat="1" ht="18" customHeight="1">
      <c r="A28" s="29"/>
      <c r="B28" s="33"/>
      <c r="C28" s="53"/>
      <c r="D28" s="53"/>
      <c r="E28" s="29"/>
      <c r="F28" s="29"/>
      <c r="G28" s="30"/>
      <c r="H28" s="30"/>
      <c r="I28" s="30"/>
      <c r="J28" s="30"/>
      <c r="K28" s="29"/>
      <c r="L28" s="33"/>
      <c r="M28" s="53"/>
      <c r="N28" s="53"/>
      <c r="O28" s="29"/>
      <c r="P28" s="102"/>
      <c r="Q28" s="102"/>
      <c r="R28" s="102"/>
      <c r="S28" s="29"/>
      <c r="T28" s="29"/>
      <c r="U28" s="29"/>
      <c r="V28" s="29"/>
      <c r="W28" s="29"/>
      <c r="X28" s="33"/>
      <c r="Y28" s="29"/>
      <c r="Z28" s="29"/>
      <c r="AA28" s="29"/>
      <c r="AB28" s="29"/>
      <c r="AC28" s="29"/>
      <c r="AD28" s="33"/>
      <c r="AE28" s="29"/>
      <c r="AF28" s="29"/>
      <c r="AG28" s="29"/>
      <c r="AH28" s="29"/>
      <c r="AI28" s="30"/>
      <c r="AJ28" s="33"/>
      <c r="AK28" s="30"/>
      <c r="AL28" s="30"/>
      <c r="AM28" s="30"/>
      <c r="AN28" s="30"/>
      <c r="AO28" s="30"/>
      <c r="AP28" s="30"/>
      <c r="AQ28" s="30"/>
    </row>
    <row r="29" spans="1:43" s="2" customFormat="1" ht="18" customHeight="1">
      <c r="A29" s="29"/>
      <c r="B29" s="33"/>
      <c r="C29" s="53"/>
      <c r="D29" s="53"/>
      <c r="E29" s="29"/>
      <c r="F29" s="29"/>
      <c r="G29" s="30"/>
      <c r="H29" s="30"/>
      <c r="I29" s="30"/>
      <c r="J29" s="30"/>
      <c r="K29" s="29"/>
      <c r="L29" s="33"/>
      <c r="M29" s="53"/>
      <c r="N29" s="53"/>
      <c r="O29" s="29"/>
      <c r="P29" s="102"/>
      <c r="Q29" s="102"/>
      <c r="R29" s="102"/>
      <c r="S29" s="29"/>
      <c r="T29" s="29"/>
      <c r="U29" s="29"/>
      <c r="V29" s="29"/>
      <c r="W29" s="29"/>
      <c r="X29" s="33"/>
      <c r="Y29" s="29"/>
      <c r="Z29" s="29"/>
      <c r="AA29" s="29"/>
      <c r="AB29" s="29"/>
      <c r="AC29" s="29"/>
      <c r="AD29" s="33"/>
      <c r="AE29" s="29"/>
      <c r="AF29" s="29"/>
      <c r="AG29" s="29"/>
      <c r="AH29" s="29"/>
      <c r="AI29" s="30"/>
      <c r="AJ29" s="33"/>
      <c r="AK29" s="30"/>
      <c r="AL29" s="30"/>
      <c r="AM29" s="30"/>
      <c r="AN29" s="30"/>
      <c r="AO29" s="30"/>
      <c r="AP29" s="30"/>
      <c r="AQ29" s="30"/>
    </row>
    <row r="30" spans="1:43" s="2" customFormat="1" ht="18" customHeight="1">
      <c r="A30" s="29"/>
      <c r="B30" s="33"/>
      <c r="C30" s="53"/>
      <c r="D30" s="53"/>
      <c r="E30" s="29"/>
      <c r="F30" s="29"/>
      <c r="G30" s="30"/>
      <c r="H30" s="30"/>
      <c r="I30" s="30"/>
      <c r="J30" s="30"/>
      <c r="K30" s="29"/>
      <c r="L30" s="33"/>
      <c r="M30" s="53"/>
      <c r="N30" s="53"/>
      <c r="O30" s="29"/>
      <c r="P30" s="102"/>
      <c r="Q30" s="102"/>
      <c r="R30" s="102"/>
      <c r="S30" s="29"/>
      <c r="T30" s="29"/>
      <c r="U30" s="29"/>
      <c r="V30" s="29"/>
      <c r="W30" s="29"/>
      <c r="X30" s="33"/>
      <c r="Y30" s="29"/>
      <c r="Z30" s="29"/>
      <c r="AA30" s="29"/>
      <c r="AB30" s="29"/>
      <c r="AC30" s="29"/>
      <c r="AD30" s="33"/>
      <c r="AE30" s="29"/>
      <c r="AF30" s="29"/>
      <c r="AG30" s="29"/>
      <c r="AH30" s="29"/>
      <c r="AI30" s="30"/>
      <c r="AJ30" s="33"/>
      <c r="AK30" s="30"/>
      <c r="AL30" s="30"/>
      <c r="AM30" s="30"/>
      <c r="AN30" s="30"/>
      <c r="AO30" s="30"/>
      <c r="AP30" s="30"/>
      <c r="AQ30" s="30"/>
    </row>
    <row r="31" spans="1:43" ht="18" customHeight="1">
      <c r="A31" s="29"/>
      <c r="B31" s="33"/>
      <c r="C31" s="53"/>
      <c r="D31" s="53"/>
      <c r="E31" s="29"/>
      <c r="K31" s="29"/>
      <c r="L31" s="33"/>
      <c r="M31" s="53"/>
      <c r="N31" s="53"/>
      <c r="O31" s="29"/>
    </row>
    <row r="32" spans="1:43" ht="18" customHeight="1">
      <c r="A32" s="29"/>
      <c r="B32" s="33"/>
      <c r="C32" s="53"/>
      <c r="D32" s="53"/>
      <c r="E32" s="29"/>
      <c r="K32" s="29"/>
      <c r="L32" s="33"/>
      <c r="M32" s="53"/>
      <c r="N32" s="53"/>
      <c r="O32" s="29"/>
    </row>
    <row r="33" spans="1:15" ht="18" customHeight="1">
      <c r="A33" s="29"/>
      <c r="B33" s="33"/>
      <c r="C33" s="53"/>
      <c r="D33" s="53"/>
      <c r="E33" s="29"/>
      <c r="K33" s="29"/>
      <c r="L33" s="33"/>
      <c r="M33" s="53"/>
      <c r="N33" s="53"/>
      <c r="O33" s="29"/>
    </row>
    <row r="34" spans="1:15" ht="18" customHeight="1">
      <c r="A34" s="29"/>
      <c r="B34" s="33"/>
      <c r="C34" s="53"/>
      <c r="D34" s="53"/>
      <c r="E34" s="29"/>
      <c r="K34" s="29"/>
      <c r="L34" s="33"/>
      <c r="M34" s="53"/>
      <c r="N34" s="53"/>
      <c r="O34" s="29"/>
    </row>
    <row r="35" spans="1:15" ht="18" customHeight="1">
      <c r="A35" s="29"/>
      <c r="B35" s="33"/>
      <c r="C35" s="53"/>
      <c r="D35" s="53"/>
      <c r="E35" s="29"/>
      <c r="K35" s="29"/>
      <c r="L35" s="33"/>
      <c r="M35" s="53"/>
      <c r="N35" s="53"/>
      <c r="O35" s="29"/>
    </row>
    <row r="36" spans="1:15" ht="18" customHeight="1">
      <c r="A36" s="29"/>
      <c r="B36" s="33"/>
      <c r="C36" s="53"/>
      <c r="D36" s="53"/>
      <c r="E36" s="29"/>
      <c r="K36" s="29"/>
      <c r="L36" s="33"/>
      <c r="M36" s="53"/>
      <c r="N36" s="53"/>
      <c r="O36" s="29"/>
    </row>
    <row r="37" spans="1:15" ht="18" customHeight="1">
      <c r="A37" s="22"/>
      <c r="B37" s="32"/>
      <c r="C37" s="52"/>
      <c r="D37" s="52"/>
      <c r="E37" s="23"/>
    </row>
    <row r="38" spans="1:15" ht="18" customHeight="1">
      <c r="A38" s="22"/>
      <c r="B38" s="32"/>
      <c r="C38" s="52"/>
      <c r="D38" s="52"/>
      <c r="E38" s="23"/>
    </row>
    <row r="39" spans="1:15" ht="18" customHeight="1">
      <c r="A39" s="22"/>
      <c r="B39" s="32"/>
      <c r="C39" s="52"/>
      <c r="D39" s="52"/>
      <c r="E39" s="23"/>
    </row>
    <row r="40" spans="1:15" ht="18" customHeight="1">
      <c r="A40" s="22"/>
      <c r="B40" s="32"/>
      <c r="C40" s="52"/>
      <c r="D40" s="52"/>
      <c r="E40" s="23"/>
    </row>
    <row r="41" spans="1:15" ht="18" customHeight="1">
      <c r="A41" s="22"/>
      <c r="B41" s="32"/>
      <c r="C41" s="52"/>
      <c r="D41" s="52"/>
      <c r="E41" s="23"/>
    </row>
    <row r="42" spans="1:15" ht="18" customHeight="1">
      <c r="A42" s="22"/>
      <c r="B42" s="32"/>
      <c r="C42" s="52"/>
      <c r="D42" s="52"/>
      <c r="E42" s="23"/>
    </row>
    <row r="43" spans="1:15" ht="18" customHeight="1">
      <c r="A43" s="22"/>
      <c r="B43" s="32"/>
      <c r="C43" s="52"/>
      <c r="D43" s="52"/>
      <c r="E43" s="23"/>
    </row>
    <row r="44" spans="1:15" ht="18" customHeight="1">
      <c r="A44" s="22"/>
      <c r="B44" s="32"/>
      <c r="C44" s="52"/>
      <c r="D44" s="52"/>
      <c r="E44" s="23"/>
    </row>
    <row r="45" spans="1:15" ht="18" customHeight="1">
      <c r="A45" s="22"/>
      <c r="B45" s="32"/>
      <c r="C45" s="52"/>
      <c r="D45" s="52"/>
      <c r="E45" s="23"/>
    </row>
    <row r="46" spans="1:15" ht="18" customHeight="1">
      <c r="A46" s="22"/>
      <c r="B46" s="32"/>
      <c r="C46" s="52"/>
      <c r="D46" s="52"/>
      <c r="E46" s="23"/>
    </row>
    <row r="47" spans="1:15" ht="18" customHeight="1">
      <c r="A47" s="22"/>
      <c r="B47" s="32"/>
      <c r="C47" s="52"/>
      <c r="D47" s="52"/>
      <c r="E47" s="23"/>
    </row>
    <row r="48" spans="1:15" ht="18" customHeight="1">
      <c r="A48" s="22"/>
      <c r="B48" s="32"/>
      <c r="C48" s="52"/>
      <c r="D48" s="52"/>
      <c r="E48" s="23"/>
    </row>
    <row r="49" spans="1:5" ht="18" customHeight="1">
      <c r="A49" s="22"/>
      <c r="B49" s="32"/>
      <c r="C49" s="52"/>
      <c r="D49" s="52"/>
      <c r="E49" s="23"/>
    </row>
    <row r="50" spans="1:5" ht="18" customHeight="1">
      <c r="A50" s="22"/>
      <c r="B50" s="32"/>
      <c r="C50" s="52"/>
      <c r="D50" s="52"/>
      <c r="E50" s="23"/>
    </row>
    <row r="51" spans="1:5" ht="18" customHeight="1">
      <c r="A51" s="22"/>
      <c r="B51" s="32"/>
      <c r="C51" s="52"/>
      <c r="D51" s="52"/>
      <c r="E51" s="23"/>
    </row>
    <row r="52" spans="1:5" ht="18" customHeight="1">
      <c r="A52" s="22"/>
      <c r="B52" s="32"/>
      <c r="C52" s="52"/>
      <c r="D52" s="52"/>
      <c r="E52" s="23"/>
    </row>
    <row r="53" spans="1:5" ht="18" customHeight="1">
      <c r="A53" s="22"/>
      <c r="B53" s="32"/>
      <c r="C53" s="52"/>
      <c r="D53" s="52"/>
      <c r="E53" s="23"/>
    </row>
    <row r="54" spans="1:5" ht="18" customHeight="1">
      <c r="A54" s="22"/>
      <c r="B54" s="32"/>
      <c r="C54" s="52"/>
      <c r="D54" s="52"/>
      <c r="E54" s="23"/>
    </row>
    <row r="55" spans="1:5" ht="18" customHeight="1">
      <c r="A55" s="22"/>
      <c r="B55" s="32"/>
      <c r="C55" s="52"/>
      <c r="D55" s="52"/>
      <c r="E55" s="23"/>
    </row>
    <row r="56" spans="1:5" ht="18" customHeight="1">
      <c r="A56" s="22"/>
      <c r="B56" s="32"/>
      <c r="C56" s="52"/>
      <c r="D56" s="52"/>
      <c r="E56" s="23"/>
    </row>
    <row r="57" spans="1:5" ht="18" customHeight="1">
      <c r="A57" s="22"/>
      <c r="B57" s="32"/>
      <c r="C57" s="52"/>
      <c r="D57" s="52"/>
      <c r="E57" s="23"/>
    </row>
    <row r="58" spans="1:5" ht="18" customHeight="1">
      <c r="A58" s="22"/>
      <c r="B58" s="32"/>
      <c r="C58" s="52"/>
      <c r="D58" s="52"/>
      <c r="E58" s="23"/>
    </row>
    <row r="59" spans="1:5" ht="18" customHeight="1">
      <c r="A59" s="22"/>
      <c r="B59" s="32"/>
      <c r="C59" s="52"/>
      <c r="D59" s="52"/>
      <c r="E59" s="23"/>
    </row>
    <row r="60" spans="1:5" ht="18" customHeight="1">
      <c r="A60" s="22"/>
      <c r="B60" s="32"/>
      <c r="C60" s="52"/>
      <c r="D60" s="52"/>
      <c r="E60" s="23"/>
    </row>
    <row r="61" spans="1:5" ht="18" customHeight="1">
      <c r="A61" s="22"/>
      <c r="B61" s="32"/>
      <c r="C61" s="52"/>
      <c r="D61" s="52"/>
      <c r="E61" s="23"/>
    </row>
    <row r="62" spans="1:5" ht="18" customHeight="1">
      <c r="A62" s="22"/>
      <c r="B62" s="32"/>
      <c r="C62" s="52"/>
      <c r="D62" s="52"/>
      <c r="E62" s="23"/>
    </row>
    <row r="63" spans="1:5" ht="18" customHeight="1">
      <c r="A63" s="22"/>
      <c r="B63" s="32"/>
      <c r="C63" s="52"/>
      <c r="D63" s="52"/>
      <c r="E63" s="23"/>
    </row>
    <row r="64" spans="1:5" ht="18" customHeight="1">
      <c r="A64" s="22"/>
      <c r="B64" s="32"/>
      <c r="C64" s="52"/>
      <c r="D64" s="52"/>
      <c r="E64" s="23"/>
    </row>
    <row r="65" spans="1:5" ht="18" customHeight="1">
      <c r="A65" s="22"/>
      <c r="B65" s="32"/>
      <c r="C65" s="52"/>
      <c r="D65" s="52"/>
      <c r="E65" s="23"/>
    </row>
    <row r="66" spans="1:5" ht="18" customHeight="1">
      <c r="A66" s="22"/>
      <c r="B66" s="32"/>
      <c r="C66" s="52"/>
      <c r="D66" s="52"/>
      <c r="E66" s="23"/>
    </row>
    <row r="67" spans="1:5" ht="18" customHeight="1">
      <c r="A67" s="22"/>
      <c r="B67" s="32"/>
      <c r="C67" s="52"/>
      <c r="D67" s="52"/>
      <c r="E67" s="23"/>
    </row>
    <row r="68" spans="1:5" ht="18" customHeight="1">
      <c r="A68" s="22"/>
      <c r="B68" s="32"/>
      <c r="C68" s="52"/>
      <c r="D68" s="52"/>
      <c r="E68" s="23"/>
    </row>
    <row r="69" spans="1:5" ht="18" customHeight="1">
      <c r="A69" s="22"/>
      <c r="B69" s="32"/>
      <c r="C69" s="52"/>
      <c r="D69" s="52"/>
      <c r="E69" s="23"/>
    </row>
    <row r="70" spans="1:5" ht="18" customHeight="1">
      <c r="A70" s="22"/>
      <c r="B70" s="32"/>
      <c r="C70" s="52"/>
      <c r="D70" s="52"/>
      <c r="E70" s="23"/>
    </row>
    <row r="71" spans="1:5" ht="18" customHeight="1">
      <c r="A71" s="22"/>
      <c r="B71" s="32"/>
      <c r="C71" s="52"/>
      <c r="D71" s="52"/>
      <c r="E71" s="23"/>
    </row>
    <row r="72" spans="1:5" ht="18" customHeight="1">
      <c r="A72" s="22"/>
      <c r="B72" s="32"/>
      <c r="C72" s="52"/>
      <c r="D72" s="52"/>
      <c r="E72" s="23"/>
    </row>
    <row r="73" spans="1:5" ht="18" customHeight="1">
      <c r="A73" s="22"/>
      <c r="B73" s="32"/>
      <c r="C73" s="52"/>
      <c r="D73" s="52"/>
      <c r="E73" s="23"/>
    </row>
    <row r="74" spans="1:5" ht="18" customHeight="1">
      <c r="A74" s="22"/>
      <c r="B74" s="32"/>
      <c r="C74" s="52"/>
      <c r="D74" s="52"/>
      <c r="E74" s="23"/>
    </row>
    <row r="75" spans="1:5" ht="18" customHeight="1">
      <c r="A75" s="22"/>
      <c r="B75" s="32"/>
      <c r="C75" s="52"/>
      <c r="D75" s="52"/>
      <c r="E75" s="23"/>
    </row>
    <row r="76" spans="1:5" ht="18" customHeight="1">
      <c r="A76" s="22"/>
      <c r="B76" s="32"/>
      <c r="C76" s="52"/>
      <c r="D76" s="52"/>
      <c r="E76" s="23"/>
    </row>
  </sheetData>
  <phoneticPr fontId="8" type="noConversion"/>
  <printOptions horizontalCentered="1"/>
  <pageMargins left="0.39370078740157483" right="0.39370078740157483" top="0.39370078740157483" bottom="0.39370078740157483" header="0.19685039370078741" footer="0.19685039370078741"/>
  <pageSetup paperSize="9" scale="89" orientation="landscape" r:id="rId1"/>
  <headerFooter alignWithMargins="0">
    <oddFooter>&amp;C&amp;"Arial,標準"( &amp;P / &amp;N )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AJ76"/>
  <sheetViews>
    <sheetView zoomScale="80" zoomScaleNormal="80" workbookViewId="0">
      <selection activeCell="G31" sqref="G31"/>
    </sheetView>
  </sheetViews>
  <sheetFormatPr defaultRowHeight="18" customHeight="1"/>
  <cols>
    <col min="1" max="1" width="4.625" style="4" customWidth="1"/>
    <col min="2" max="2" width="38" style="31" bestFit="1" customWidth="1"/>
    <col min="3" max="4" width="10.625" style="103" customWidth="1"/>
    <col min="5" max="5" width="6.625" style="12" customWidth="1"/>
    <col min="6" max="10" width="13.125" style="4" customWidth="1"/>
    <col min="11" max="11" width="4.625" style="4" customWidth="1"/>
    <col min="12" max="12" width="38" style="31" bestFit="1" customWidth="1"/>
    <col min="13" max="14" width="10.625" style="55" customWidth="1"/>
    <col min="15" max="15" width="6.625" style="4" customWidth="1"/>
    <col min="16" max="17" width="4.625" style="4" customWidth="1"/>
    <col min="18" max="18" width="15.625" style="31" customWidth="1"/>
    <col min="19" max="20" width="7.625" style="4" customWidth="1"/>
    <col min="21" max="21" width="6.625" style="4" customWidth="1"/>
    <col min="22" max="23" width="4.625" style="4" customWidth="1"/>
    <col min="24" max="24" width="15.625" style="31" customWidth="1"/>
    <col min="25" max="26" width="7.625" style="4" customWidth="1"/>
    <col min="27" max="27" width="6.625" style="4" customWidth="1"/>
    <col min="28" max="29" width="4.625" style="4" customWidth="1"/>
    <col min="30" max="30" width="15.625" style="31" customWidth="1"/>
    <col min="31" max="32" width="7.625" style="4" customWidth="1"/>
    <col min="33" max="33" width="6.625" style="4" customWidth="1"/>
    <col min="34" max="35" width="10.625" style="4" customWidth="1"/>
    <col min="36" max="36" width="10.625" style="31" customWidth="1"/>
    <col min="37" max="54" width="10.625" style="4" customWidth="1"/>
    <col min="55" max="16384" width="9" style="4"/>
  </cols>
  <sheetData>
    <row r="1" spans="1:36" ht="69.95" customHeight="1">
      <c r="A1" s="27" t="s">
        <v>111</v>
      </c>
      <c r="B1" s="36"/>
      <c r="K1" s="27"/>
      <c r="L1" s="36"/>
    </row>
    <row r="2" spans="1:36" ht="20.25" customHeight="1" thickBot="1">
      <c r="A2" s="17" t="s">
        <v>52</v>
      </c>
      <c r="K2" s="17" t="s">
        <v>96</v>
      </c>
      <c r="P2" s="2"/>
      <c r="Q2" s="2"/>
      <c r="R2" s="100"/>
      <c r="S2" s="2"/>
      <c r="T2" s="2"/>
      <c r="U2" s="2"/>
    </row>
    <row r="3" spans="1:36" s="23" customFormat="1" ht="18" customHeight="1" thickBot="1">
      <c r="A3" s="19" t="s">
        <v>20</v>
      </c>
      <c r="B3" s="20" t="s">
        <v>3</v>
      </c>
      <c r="C3" s="96" t="s">
        <v>1</v>
      </c>
      <c r="D3" s="96" t="s">
        <v>4</v>
      </c>
      <c r="E3" s="21" t="s">
        <v>5</v>
      </c>
      <c r="K3" s="19" t="s">
        <v>97</v>
      </c>
      <c r="L3" s="20" t="s">
        <v>98</v>
      </c>
      <c r="M3" s="96" t="s">
        <v>99</v>
      </c>
      <c r="N3" s="96" t="s">
        <v>100</v>
      </c>
      <c r="O3" s="21" t="s">
        <v>101</v>
      </c>
      <c r="P3" s="29"/>
    </row>
    <row r="4" spans="1:36" s="22" customFormat="1" ht="18" customHeight="1">
      <c r="A4" s="39">
        <v>25</v>
      </c>
      <c r="B4" s="43" t="s">
        <v>214</v>
      </c>
      <c r="C4" s="54">
        <v>10860</v>
      </c>
      <c r="D4" s="54">
        <v>10330</v>
      </c>
      <c r="E4" s="39" t="s">
        <v>175</v>
      </c>
      <c r="F4" s="23"/>
      <c r="G4" s="23"/>
      <c r="H4" s="23"/>
      <c r="I4" s="23"/>
      <c r="J4" s="23"/>
      <c r="K4" s="39">
        <v>37</v>
      </c>
      <c r="L4" s="43" t="s">
        <v>214</v>
      </c>
      <c r="M4" s="54">
        <v>-60</v>
      </c>
      <c r="N4" s="54">
        <v>-60</v>
      </c>
      <c r="O4" s="39" t="s">
        <v>175</v>
      </c>
      <c r="P4" s="29"/>
      <c r="Q4" s="30"/>
      <c r="R4" s="33"/>
      <c r="S4" s="30"/>
      <c r="T4" s="30"/>
      <c r="U4" s="30"/>
      <c r="X4" s="32"/>
      <c r="AD4" s="32"/>
      <c r="AJ4" s="32"/>
    </row>
    <row r="5" spans="1:36" s="22" customFormat="1" ht="18" customHeight="1">
      <c r="A5" s="40">
        <v>26</v>
      </c>
      <c r="B5" s="44" t="s">
        <v>214</v>
      </c>
      <c r="C5" s="51">
        <v>-10860</v>
      </c>
      <c r="D5" s="51">
        <v>9758</v>
      </c>
      <c r="E5" s="40" t="s">
        <v>189</v>
      </c>
      <c r="F5" s="23"/>
      <c r="G5" s="23"/>
      <c r="H5" s="23"/>
      <c r="I5" s="23"/>
      <c r="J5" s="23"/>
      <c r="K5" s="40">
        <v>38</v>
      </c>
      <c r="L5" s="44" t="s">
        <v>214</v>
      </c>
      <c r="M5" s="51">
        <v>60</v>
      </c>
      <c r="N5" s="51">
        <v>-632</v>
      </c>
      <c r="O5" s="40" t="s">
        <v>189</v>
      </c>
      <c r="P5" s="29"/>
      <c r="R5" s="32"/>
      <c r="X5" s="32"/>
      <c r="AD5" s="32"/>
      <c r="AJ5" s="32"/>
    </row>
    <row r="6" spans="1:36" s="22" customFormat="1" ht="18" customHeight="1">
      <c r="A6" s="40">
        <v>27</v>
      </c>
      <c r="B6" s="44" t="s">
        <v>214</v>
      </c>
      <c r="C6" s="51">
        <v>-10632</v>
      </c>
      <c r="D6" s="51">
        <v>-10330</v>
      </c>
      <c r="E6" s="40" t="s">
        <v>175</v>
      </c>
      <c r="F6" s="23"/>
      <c r="G6" s="23"/>
      <c r="H6" s="23"/>
      <c r="I6" s="23"/>
      <c r="J6" s="23"/>
      <c r="K6" s="40">
        <v>39</v>
      </c>
      <c r="L6" s="44" t="s">
        <v>214</v>
      </c>
      <c r="M6" s="51">
        <v>60</v>
      </c>
      <c r="N6" s="51">
        <v>20148</v>
      </c>
      <c r="O6" s="40" t="s">
        <v>189</v>
      </c>
      <c r="P6" s="29"/>
      <c r="R6" s="32"/>
      <c r="X6" s="32"/>
      <c r="AD6" s="32"/>
      <c r="AJ6" s="32"/>
    </row>
    <row r="7" spans="1:36" s="22" customFormat="1" ht="18" customHeight="1">
      <c r="A7" s="40">
        <v>28</v>
      </c>
      <c r="B7" s="44" t="s">
        <v>214</v>
      </c>
      <c r="C7" s="51">
        <v>10860</v>
      </c>
      <c r="D7" s="51">
        <v>-10330</v>
      </c>
      <c r="E7" s="40" t="s">
        <v>189</v>
      </c>
      <c r="F7" s="23"/>
      <c r="G7" s="23"/>
      <c r="H7" s="23"/>
      <c r="I7" s="23"/>
      <c r="J7" s="23"/>
      <c r="K7" s="40">
        <v>40</v>
      </c>
      <c r="L7" s="44" t="s">
        <v>214</v>
      </c>
      <c r="M7" s="51">
        <v>21780</v>
      </c>
      <c r="N7" s="51">
        <v>-20720</v>
      </c>
      <c r="O7" s="40" t="s">
        <v>189</v>
      </c>
      <c r="P7" s="29"/>
      <c r="R7" s="32"/>
      <c r="X7" s="32"/>
      <c r="AD7" s="32"/>
      <c r="AJ7" s="32"/>
    </row>
    <row r="8" spans="1:36" s="22" customFormat="1" ht="18" customHeight="1">
      <c r="A8" s="76"/>
      <c r="B8" s="89"/>
      <c r="C8" s="97"/>
      <c r="D8" s="97"/>
      <c r="E8" s="76"/>
      <c r="F8" s="23"/>
      <c r="G8" s="23"/>
      <c r="H8" s="23"/>
      <c r="I8" s="23"/>
      <c r="J8" s="23"/>
      <c r="K8" s="40">
        <v>41</v>
      </c>
      <c r="L8" s="44" t="s">
        <v>214</v>
      </c>
      <c r="M8" s="51">
        <v>-60</v>
      </c>
      <c r="N8" s="51">
        <v>-20720</v>
      </c>
      <c r="O8" s="40" t="s">
        <v>189</v>
      </c>
      <c r="P8" s="29"/>
      <c r="R8" s="32"/>
      <c r="X8" s="32"/>
      <c r="AD8" s="32"/>
      <c r="AJ8" s="32"/>
    </row>
    <row r="9" spans="1:36" s="22" customFormat="1" ht="18" customHeight="1">
      <c r="A9" s="29"/>
      <c r="B9" s="33"/>
      <c r="C9" s="53"/>
      <c r="D9" s="53"/>
      <c r="E9" s="29"/>
      <c r="F9" s="23"/>
      <c r="G9" s="23"/>
      <c r="H9" s="23"/>
      <c r="I9" s="23"/>
      <c r="J9" s="23"/>
      <c r="K9" s="40">
        <v>42</v>
      </c>
      <c r="L9" s="44" t="s">
        <v>214</v>
      </c>
      <c r="M9" s="51">
        <v>288</v>
      </c>
      <c r="N9" s="51">
        <v>60</v>
      </c>
      <c r="O9" s="40" t="s">
        <v>175</v>
      </c>
      <c r="P9" s="29"/>
      <c r="R9" s="32"/>
      <c r="X9" s="32"/>
      <c r="AD9" s="32"/>
      <c r="AJ9" s="32"/>
    </row>
    <row r="10" spans="1:36" s="22" customFormat="1" ht="18" customHeight="1">
      <c r="A10" s="29"/>
      <c r="B10" s="33"/>
      <c r="C10" s="53"/>
      <c r="D10" s="53"/>
      <c r="E10" s="29"/>
      <c r="F10" s="23"/>
      <c r="G10" s="23"/>
      <c r="H10" s="23"/>
      <c r="I10" s="23"/>
      <c r="J10" s="23"/>
      <c r="K10" s="40">
        <v>43</v>
      </c>
      <c r="L10" s="44" t="s">
        <v>214</v>
      </c>
      <c r="M10" s="51">
        <v>288</v>
      </c>
      <c r="N10" s="51">
        <v>-20720</v>
      </c>
      <c r="O10" s="40" t="s">
        <v>175</v>
      </c>
      <c r="P10" s="29"/>
      <c r="R10" s="32"/>
      <c r="X10" s="32"/>
      <c r="AD10" s="32"/>
      <c r="AJ10" s="32"/>
    </row>
    <row r="11" spans="1:36" s="22" customFormat="1" ht="18" customHeight="1">
      <c r="A11" s="29"/>
      <c r="B11" s="33"/>
      <c r="C11" s="53"/>
      <c r="D11" s="53"/>
      <c r="E11" s="29"/>
      <c r="F11" s="23"/>
      <c r="G11" s="23"/>
      <c r="H11" s="23"/>
      <c r="I11" s="23"/>
      <c r="J11" s="23"/>
      <c r="K11" s="40">
        <v>44</v>
      </c>
      <c r="L11" s="44" t="s">
        <v>214</v>
      </c>
      <c r="M11" s="51">
        <v>-21552</v>
      </c>
      <c r="N11" s="51">
        <v>-20720</v>
      </c>
      <c r="O11" s="40" t="s">
        <v>175</v>
      </c>
      <c r="P11" s="29"/>
      <c r="R11" s="32"/>
      <c r="X11" s="32"/>
      <c r="AD11" s="32"/>
      <c r="AJ11" s="32"/>
    </row>
    <row r="12" spans="1:36" s="22" customFormat="1" ht="18" customHeight="1">
      <c r="A12" s="29"/>
      <c r="B12" s="33"/>
      <c r="C12" s="53"/>
      <c r="D12" s="53"/>
      <c r="E12" s="29"/>
      <c r="F12" s="23"/>
      <c r="G12" s="23"/>
      <c r="H12" s="23"/>
      <c r="I12" s="23"/>
      <c r="J12" s="23"/>
      <c r="K12" s="40">
        <v>45</v>
      </c>
      <c r="L12" s="44" t="s">
        <v>214</v>
      </c>
      <c r="M12" s="51">
        <v>-60</v>
      </c>
      <c r="N12" s="51">
        <v>20720</v>
      </c>
      <c r="O12" s="40" t="s">
        <v>175</v>
      </c>
      <c r="P12" s="29"/>
      <c r="R12" s="32"/>
      <c r="X12" s="32"/>
      <c r="AD12" s="32"/>
      <c r="AJ12" s="32"/>
    </row>
    <row r="13" spans="1:36" s="22" customFormat="1" ht="18" customHeight="1">
      <c r="A13" s="29"/>
      <c r="B13" s="33"/>
      <c r="C13" s="53"/>
      <c r="D13" s="53"/>
      <c r="E13" s="29"/>
      <c r="F13" s="23"/>
      <c r="G13" s="23"/>
      <c r="H13" s="23"/>
      <c r="I13" s="23"/>
      <c r="J13" s="23"/>
      <c r="K13" s="40">
        <v>46</v>
      </c>
      <c r="L13" s="44" t="s">
        <v>214</v>
      </c>
      <c r="M13" s="51">
        <v>-60</v>
      </c>
      <c r="N13" s="51">
        <v>60</v>
      </c>
      <c r="O13" s="40" t="s">
        <v>189</v>
      </c>
      <c r="P13" s="29"/>
      <c r="R13" s="32"/>
      <c r="X13" s="32"/>
      <c r="AD13" s="32"/>
      <c r="AJ13" s="32"/>
    </row>
    <row r="14" spans="1:36" s="22" customFormat="1" ht="18" customHeight="1">
      <c r="A14" s="29"/>
      <c r="B14" s="33"/>
      <c r="C14" s="53"/>
      <c r="D14" s="53"/>
      <c r="E14" s="29"/>
      <c r="F14" s="23"/>
      <c r="G14" s="23"/>
      <c r="H14" s="23"/>
      <c r="I14" s="23"/>
      <c r="J14" s="23"/>
      <c r="K14" s="40">
        <v>47</v>
      </c>
      <c r="L14" s="44" t="s">
        <v>214</v>
      </c>
      <c r="M14" s="51">
        <v>-21552</v>
      </c>
      <c r="N14" s="51">
        <v>60</v>
      </c>
      <c r="O14" s="40" t="s">
        <v>175</v>
      </c>
      <c r="P14" s="29"/>
      <c r="R14" s="32"/>
      <c r="X14" s="32"/>
      <c r="AD14" s="32"/>
      <c r="AJ14" s="32"/>
    </row>
    <row r="15" spans="1:36" s="22" customFormat="1" ht="18" customHeight="1">
      <c r="A15" s="29"/>
      <c r="B15" s="33"/>
      <c r="C15" s="53"/>
      <c r="D15" s="53"/>
      <c r="E15" s="29"/>
      <c r="F15" s="29"/>
      <c r="G15" s="23"/>
      <c r="H15" s="23"/>
      <c r="I15" s="23"/>
      <c r="J15" s="23"/>
      <c r="K15" s="40">
        <v>48</v>
      </c>
      <c r="L15" s="44" t="s">
        <v>214</v>
      </c>
      <c r="M15" s="51">
        <v>-21780</v>
      </c>
      <c r="N15" s="51">
        <v>20148</v>
      </c>
      <c r="O15" s="40" t="s">
        <v>189</v>
      </c>
      <c r="P15" s="29"/>
      <c r="R15" s="32"/>
      <c r="X15" s="32"/>
      <c r="AD15" s="32"/>
      <c r="AJ15" s="32"/>
    </row>
    <row r="16" spans="1:36" ht="18" customHeight="1">
      <c r="A16" s="30"/>
      <c r="B16" s="33"/>
      <c r="C16" s="53"/>
      <c r="D16" s="53"/>
      <c r="E16" s="29"/>
    </row>
    <row r="17" spans="1:5" ht="18" customHeight="1">
      <c r="A17" s="30"/>
      <c r="B17" s="33"/>
      <c r="C17" s="53"/>
      <c r="D17" s="53"/>
      <c r="E17" s="29"/>
    </row>
    <row r="18" spans="1:5" ht="18" customHeight="1">
      <c r="A18" s="22"/>
      <c r="B18" s="32"/>
      <c r="C18" s="52"/>
      <c r="D18" s="52"/>
      <c r="E18" s="23"/>
    </row>
    <row r="19" spans="1:5" ht="18" customHeight="1">
      <c r="A19" s="22"/>
      <c r="B19" s="32"/>
      <c r="C19" s="52"/>
      <c r="D19" s="52"/>
      <c r="E19" s="23"/>
    </row>
    <row r="20" spans="1:5" ht="18" customHeight="1">
      <c r="A20" s="22"/>
      <c r="B20" s="32"/>
      <c r="C20" s="52"/>
      <c r="D20" s="52"/>
      <c r="E20" s="23"/>
    </row>
    <row r="21" spans="1:5" ht="18" customHeight="1">
      <c r="A21" s="22"/>
      <c r="B21" s="32"/>
      <c r="C21" s="52"/>
      <c r="D21" s="52"/>
      <c r="E21" s="23"/>
    </row>
    <row r="22" spans="1:5" ht="18" customHeight="1">
      <c r="A22" s="22"/>
      <c r="B22" s="32"/>
      <c r="C22" s="52"/>
      <c r="D22" s="52"/>
      <c r="E22" s="23"/>
    </row>
    <row r="23" spans="1:5" ht="18" customHeight="1">
      <c r="A23" s="123"/>
      <c r="B23" s="124"/>
      <c r="C23" s="125"/>
      <c r="D23" s="52"/>
      <c r="E23" s="23"/>
    </row>
    <row r="24" spans="1:5" ht="18" customHeight="1">
      <c r="A24" s="123"/>
      <c r="B24" s="124"/>
      <c r="C24" s="125"/>
      <c r="D24" s="52"/>
      <c r="E24" s="23"/>
    </row>
    <row r="25" spans="1:5" ht="18" customHeight="1">
      <c r="A25" s="22"/>
      <c r="B25" s="32"/>
      <c r="C25" s="52"/>
      <c r="D25" s="52"/>
      <c r="E25" s="23"/>
    </row>
    <row r="26" spans="1:5" ht="18" customHeight="1">
      <c r="A26" s="22"/>
      <c r="B26" s="32"/>
      <c r="C26" s="52"/>
      <c r="D26" s="52"/>
      <c r="E26" s="23"/>
    </row>
    <row r="27" spans="1:5" ht="18" customHeight="1">
      <c r="A27" s="22"/>
      <c r="B27" s="32"/>
      <c r="C27" s="52"/>
      <c r="D27" s="52"/>
      <c r="E27" s="23"/>
    </row>
    <row r="28" spans="1:5" ht="18" customHeight="1">
      <c r="A28" s="22"/>
      <c r="B28" s="32"/>
      <c r="C28" s="52"/>
      <c r="D28" s="52"/>
      <c r="E28" s="23"/>
    </row>
    <row r="29" spans="1:5" ht="18" customHeight="1">
      <c r="A29" s="22"/>
      <c r="B29" s="32"/>
      <c r="C29" s="52"/>
      <c r="D29" s="52"/>
      <c r="E29" s="23"/>
    </row>
    <row r="30" spans="1:5" ht="18" customHeight="1">
      <c r="A30" s="22"/>
      <c r="B30" s="32"/>
      <c r="C30" s="52"/>
      <c r="D30" s="52"/>
      <c r="E30" s="23"/>
    </row>
    <row r="31" spans="1:5" ht="18" customHeight="1">
      <c r="A31" s="22"/>
      <c r="B31" s="32"/>
      <c r="C31" s="52"/>
      <c r="D31" s="52"/>
      <c r="E31" s="23"/>
    </row>
    <row r="32" spans="1:5" ht="18" customHeight="1">
      <c r="A32" s="22"/>
      <c r="B32" s="32"/>
      <c r="C32" s="52"/>
      <c r="D32" s="52"/>
      <c r="E32" s="23"/>
    </row>
    <row r="33" spans="1:5" ht="18" customHeight="1">
      <c r="A33" s="22"/>
      <c r="B33" s="32"/>
      <c r="C33" s="52"/>
      <c r="D33" s="52"/>
      <c r="E33" s="23"/>
    </row>
    <row r="34" spans="1:5" ht="18" customHeight="1">
      <c r="A34" s="22"/>
      <c r="B34" s="32"/>
      <c r="C34" s="52"/>
      <c r="D34" s="52"/>
      <c r="E34" s="23"/>
    </row>
    <row r="35" spans="1:5" ht="18" customHeight="1">
      <c r="A35" s="22"/>
      <c r="B35" s="32"/>
      <c r="C35" s="52"/>
      <c r="D35" s="52"/>
      <c r="E35" s="23"/>
    </row>
    <row r="36" spans="1:5" ht="18" customHeight="1">
      <c r="A36" s="22"/>
      <c r="B36" s="32"/>
      <c r="C36" s="52"/>
      <c r="D36" s="52"/>
      <c r="E36" s="23"/>
    </row>
    <row r="37" spans="1:5" ht="18" customHeight="1">
      <c r="A37" s="22"/>
      <c r="B37" s="32"/>
      <c r="C37" s="52"/>
      <c r="D37" s="52"/>
      <c r="E37" s="23"/>
    </row>
    <row r="38" spans="1:5" ht="18" customHeight="1">
      <c r="A38" s="22"/>
      <c r="B38" s="32"/>
      <c r="C38" s="52"/>
      <c r="D38" s="52"/>
      <c r="E38" s="23"/>
    </row>
    <row r="39" spans="1:5" ht="18" customHeight="1">
      <c r="A39" s="22"/>
      <c r="B39" s="32"/>
      <c r="C39" s="52"/>
      <c r="D39" s="52"/>
      <c r="E39" s="23"/>
    </row>
    <row r="40" spans="1:5" ht="18" customHeight="1">
      <c r="A40" s="22"/>
      <c r="B40" s="32"/>
      <c r="C40" s="52"/>
      <c r="D40" s="52"/>
      <c r="E40" s="23"/>
    </row>
    <row r="41" spans="1:5" ht="18" customHeight="1">
      <c r="A41" s="22"/>
      <c r="B41" s="32"/>
      <c r="C41" s="52"/>
      <c r="D41" s="52"/>
      <c r="E41" s="23"/>
    </row>
    <row r="42" spans="1:5" ht="18" customHeight="1">
      <c r="A42" s="22"/>
      <c r="B42" s="32"/>
      <c r="C42" s="52"/>
      <c r="D42" s="52"/>
      <c r="E42" s="23"/>
    </row>
    <row r="43" spans="1:5" ht="18" customHeight="1">
      <c r="A43" s="22"/>
      <c r="B43" s="32"/>
      <c r="C43" s="52"/>
      <c r="D43" s="52"/>
      <c r="E43" s="23"/>
    </row>
    <row r="44" spans="1:5" ht="18" customHeight="1">
      <c r="A44" s="22"/>
      <c r="B44" s="32"/>
      <c r="C44" s="52"/>
      <c r="D44" s="52"/>
      <c r="E44" s="23"/>
    </row>
    <row r="45" spans="1:5" ht="18" customHeight="1">
      <c r="A45" s="22"/>
      <c r="B45" s="32"/>
      <c r="C45" s="52"/>
      <c r="D45" s="52"/>
      <c r="E45" s="23"/>
    </row>
    <row r="46" spans="1:5" ht="18" customHeight="1">
      <c r="A46" s="22"/>
      <c r="B46" s="32"/>
      <c r="C46" s="52"/>
      <c r="D46" s="52"/>
      <c r="E46" s="23"/>
    </row>
    <row r="47" spans="1:5" ht="18" customHeight="1">
      <c r="A47" s="22"/>
      <c r="B47" s="32"/>
      <c r="C47" s="52"/>
      <c r="D47" s="52"/>
      <c r="E47" s="23"/>
    </row>
    <row r="48" spans="1:5" ht="18" customHeight="1">
      <c r="A48" s="22"/>
      <c r="B48" s="32"/>
      <c r="C48" s="52"/>
      <c r="D48" s="52"/>
      <c r="E48" s="23"/>
    </row>
    <row r="49" spans="1:5" ht="18" customHeight="1">
      <c r="A49" s="22"/>
      <c r="B49" s="32"/>
      <c r="C49" s="52"/>
      <c r="D49" s="52"/>
      <c r="E49" s="23"/>
    </row>
    <row r="50" spans="1:5" ht="18" customHeight="1">
      <c r="A50" s="22"/>
      <c r="B50" s="32"/>
      <c r="C50" s="52"/>
      <c r="D50" s="52"/>
      <c r="E50" s="23"/>
    </row>
    <row r="51" spans="1:5" ht="18" customHeight="1">
      <c r="A51" s="22"/>
      <c r="B51" s="32"/>
      <c r="C51" s="52"/>
      <c r="D51" s="52"/>
      <c r="E51" s="23"/>
    </row>
    <row r="52" spans="1:5" ht="18" customHeight="1">
      <c r="A52" s="22"/>
      <c r="B52" s="32"/>
      <c r="C52" s="52"/>
      <c r="D52" s="52"/>
      <c r="E52" s="23"/>
    </row>
    <row r="53" spans="1:5" ht="18" customHeight="1">
      <c r="A53" s="22"/>
      <c r="B53" s="32"/>
      <c r="C53" s="52"/>
      <c r="D53" s="52"/>
      <c r="E53" s="23"/>
    </row>
    <row r="54" spans="1:5" ht="18" customHeight="1">
      <c r="A54" s="22"/>
      <c r="B54" s="32"/>
      <c r="C54" s="52"/>
      <c r="D54" s="52"/>
      <c r="E54" s="23"/>
    </row>
    <row r="55" spans="1:5" ht="18" customHeight="1">
      <c r="A55" s="22"/>
      <c r="B55" s="32"/>
      <c r="C55" s="52"/>
      <c r="D55" s="52"/>
      <c r="E55" s="23"/>
    </row>
    <row r="56" spans="1:5" ht="18" customHeight="1">
      <c r="A56" s="22"/>
      <c r="B56" s="32"/>
      <c r="C56" s="52"/>
      <c r="D56" s="52"/>
      <c r="E56" s="23"/>
    </row>
    <row r="57" spans="1:5" ht="18" customHeight="1">
      <c r="A57" s="22"/>
      <c r="B57" s="32"/>
      <c r="C57" s="52"/>
      <c r="D57" s="52"/>
      <c r="E57" s="23"/>
    </row>
    <row r="58" spans="1:5" ht="18" customHeight="1">
      <c r="A58" s="22"/>
      <c r="B58" s="32"/>
      <c r="C58" s="52"/>
      <c r="D58" s="52"/>
      <c r="E58" s="23"/>
    </row>
    <row r="59" spans="1:5" ht="18" customHeight="1">
      <c r="A59" s="22"/>
      <c r="B59" s="32"/>
      <c r="C59" s="52"/>
      <c r="D59" s="52"/>
      <c r="E59" s="23"/>
    </row>
    <row r="60" spans="1:5" ht="18" customHeight="1">
      <c r="A60" s="22"/>
      <c r="B60" s="32"/>
      <c r="C60" s="52"/>
      <c r="D60" s="52"/>
      <c r="E60" s="23"/>
    </row>
    <row r="61" spans="1:5" ht="18" customHeight="1">
      <c r="A61" s="22"/>
      <c r="B61" s="32"/>
      <c r="C61" s="52"/>
      <c r="D61" s="52"/>
      <c r="E61" s="23"/>
    </row>
    <row r="62" spans="1:5" ht="18" customHeight="1">
      <c r="A62" s="22"/>
      <c r="B62" s="32"/>
      <c r="C62" s="52"/>
      <c r="D62" s="52"/>
      <c r="E62" s="23"/>
    </row>
    <row r="63" spans="1:5" ht="18" customHeight="1">
      <c r="A63" s="22"/>
      <c r="B63" s="32"/>
      <c r="C63" s="52"/>
      <c r="D63" s="52"/>
      <c r="E63" s="23"/>
    </row>
    <row r="64" spans="1:5" ht="18" customHeight="1">
      <c r="A64" s="22"/>
      <c r="B64" s="32"/>
      <c r="C64" s="52"/>
      <c r="D64" s="52"/>
      <c r="E64" s="23"/>
    </row>
    <row r="65" spans="1:5" ht="18" customHeight="1">
      <c r="A65" s="22"/>
      <c r="B65" s="32"/>
      <c r="C65" s="52"/>
      <c r="D65" s="52"/>
      <c r="E65" s="23"/>
    </row>
    <row r="66" spans="1:5" ht="18" customHeight="1">
      <c r="A66" s="22"/>
      <c r="B66" s="32"/>
      <c r="C66" s="52"/>
      <c r="D66" s="52"/>
      <c r="E66" s="23"/>
    </row>
    <row r="67" spans="1:5" ht="18" customHeight="1">
      <c r="A67" s="22"/>
      <c r="B67" s="32"/>
      <c r="C67" s="52"/>
      <c r="D67" s="52"/>
      <c r="E67" s="23"/>
    </row>
    <row r="68" spans="1:5" ht="18" customHeight="1">
      <c r="A68" s="22"/>
      <c r="B68" s="32"/>
      <c r="C68" s="52"/>
      <c r="D68" s="52"/>
      <c r="E68" s="23"/>
    </row>
    <row r="69" spans="1:5" ht="18" customHeight="1">
      <c r="A69" s="22"/>
      <c r="B69" s="32"/>
      <c r="C69" s="52"/>
      <c r="D69" s="52"/>
      <c r="E69" s="23"/>
    </row>
    <row r="70" spans="1:5" ht="18" customHeight="1">
      <c r="A70" s="22"/>
      <c r="B70" s="32"/>
      <c r="C70" s="52"/>
      <c r="D70" s="52"/>
      <c r="E70" s="23"/>
    </row>
    <row r="71" spans="1:5" ht="18" customHeight="1">
      <c r="A71" s="22"/>
      <c r="B71" s="32"/>
      <c r="C71" s="52"/>
      <c r="D71" s="52"/>
      <c r="E71" s="23"/>
    </row>
    <row r="72" spans="1:5" ht="18" customHeight="1">
      <c r="A72" s="22"/>
      <c r="B72" s="32"/>
      <c r="C72" s="52"/>
      <c r="D72" s="52"/>
      <c r="E72" s="23"/>
    </row>
    <row r="73" spans="1:5" ht="18" customHeight="1">
      <c r="A73" s="22"/>
      <c r="B73" s="32"/>
      <c r="C73" s="52"/>
      <c r="D73" s="52"/>
      <c r="E73" s="23"/>
    </row>
    <row r="74" spans="1:5" ht="18" customHeight="1">
      <c r="A74" s="22"/>
      <c r="B74" s="32"/>
      <c r="C74" s="52"/>
      <c r="D74" s="52"/>
      <c r="E74" s="23"/>
    </row>
    <row r="75" spans="1:5" ht="18" customHeight="1">
      <c r="A75" s="22"/>
      <c r="B75" s="32"/>
      <c r="C75" s="52"/>
      <c r="D75" s="52"/>
      <c r="E75" s="23"/>
    </row>
    <row r="76" spans="1:5" ht="18" customHeight="1">
      <c r="A76" s="22"/>
      <c r="B76" s="32"/>
      <c r="C76" s="52"/>
      <c r="D76" s="52"/>
      <c r="E76" s="23"/>
    </row>
  </sheetData>
  <phoneticPr fontId="8" type="noConversion"/>
  <printOptions horizontalCentered="1"/>
  <pageMargins left="0.39370078740157483" right="0.39370078740157483" top="0.39370078740157483" bottom="0.39370078740157483" header="0.19685039370078741" footer="0.19685039370078741"/>
  <pageSetup paperSize="9" scale="92" orientation="landscape" r:id="rId1"/>
  <headerFooter alignWithMargins="0">
    <oddFooter>&amp;C&amp;"Arial,標準"( &amp;P / &amp;N )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AJ76"/>
  <sheetViews>
    <sheetView zoomScale="75" workbookViewId="0">
      <selection activeCell="H29" sqref="H29"/>
    </sheetView>
  </sheetViews>
  <sheetFormatPr defaultRowHeight="18" customHeight="1"/>
  <cols>
    <col min="1" max="1" width="4.625" style="4" customWidth="1"/>
    <col min="2" max="2" width="45.625" style="31" bestFit="1" customWidth="1"/>
    <col min="3" max="4" width="10.625" style="103" customWidth="1"/>
    <col min="5" max="5" width="6.625" style="12" customWidth="1"/>
    <col min="6" max="10" width="13.125" style="4" customWidth="1"/>
    <col min="11" max="11" width="4.625" style="2" customWidth="1"/>
    <col min="12" max="12" width="15.625" style="100" customWidth="1"/>
    <col min="13" max="14" width="7.625" style="2" customWidth="1"/>
    <col min="15" max="15" width="6.625" style="2" customWidth="1"/>
    <col min="16" max="17" width="4.625" style="2" customWidth="1"/>
    <col min="18" max="18" width="15.625" style="100" customWidth="1"/>
    <col min="19" max="20" width="7.625" style="2" customWidth="1"/>
    <col min="21" max="21" width="6.625" style="2" customWidth="1"/>
    <col min="22" max="23" width="4.625" style="4" customWidth="1"/>
    <col min="24" max="24" width="15.625" style="31" customWidth="1"/>
    <col min="25" max="26" width="7.625" style="4" customWidth="1"/>
    <col min="27" max="27" width="6.625" style="4" customWidth="1"/>
    <col min="28" max="29" width="4.625" style="4" customWidth="1"/>
    <col min="30" max="30" width="15.625" style="31" customWidth="1"/>
    <col min="31" max="32" width="7.625" style="4" customWidth="1"/>
    <col min="33" max="33" width="6.625" style="4" customWidth="1"/>
    <col min="34" max="35" width="9" style="4"/>
    <col min="36" max="36" width="9" style="31"/>
    <col min="37" max="16384" width="9" style="4"/>
  </cols>
  <sheetData>
    <row r="1" spans="1:36" ht="69.95" customHeight="1">
      <c r="B1" s="36"/>
    </row>
    <row r="2" spans="1:36" ht="20.25" customHeight="1" thickBot="1">
      <c r="A2" s="27" t="s">
        <v>31</v>
      </c>
      <c r="V2" s="2"/>
      <c r="W2" s="2"/>
      <c r="X2" s="100"/>
    </row>
    <row r="3" spans="1:36" s="23" customFormat="1" ht="18" customHeight="1" thickBot="1">
      <c r="A3" s="19" t="s">
        <v>20</v>
      </c>
      <c r="B3" s="20" t="s">
        <v>3</v>
      </c>
      <c r="C3" s="96" t="s">
        <v>1</v>
      </c>
      <c r="D3" s="96" t="s">
        <v>4</v>
      </c>
      <c r="E3" s="21" t="s">
        <v>5</v>
      </c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</row>
    <row r="4" spans="1:36" s="23" customFormat="1" ht="18" customHeight="1">
      <c r="A4" s="40"/>
      <c r="B4" s="44" t="s">
        <v>230</v>
      </c>
      <c r="C4" s="51">
        <v>-1848</v>
      </c>
      <c r="D4" s="51">
        <v>-7136</v>
      </c>
      <c r="E4" s="40" t="s">
        <v>175</v>
      </c>
      <c r="K4" s="29"/>
      <c r="L4" s="33"/>
      <c r="M4" s="29"/>
      <c r="N4" s="29"/>
      <c r="O4" s="29"/>
      <c r="P4" s="29"/>
      <c r="Q4" s="29"/>
      <c r="R4" s="33"/>
      <c r="S4" s="29"/>
      <c r="T4" s="29"/>
      <c r="U4" s="29"/>
      <c r="V4" s="29"/>
      <c r="W4" s="29"/>
      <c r="X4" s="33"/>
      <c r="AD4" s="32"/>
      <c r="AJ4" s="32"/>
    </row>
    <row r="5" spans="1:36" s="23" customFormat="1" ht="18" customHeight="1">
      <c r="A5" s="40"/>
      <c r="B5" s="44" t="s">
        <v>229</v>
      </c>
      <c r="C5" s="51">
        <v>0</v>
      </c>
      <c r="D5" s="51">
        <v>-7136</v>
      </c>
      <c r="E5" s="40" t="s">
        <v>175</v>
      </c>
      <c r="K5" s="29"/>
      <c r="L5" s="33"/>
      <c r="M5" s="29"/>
      <c r="N5" s="29"/>
      <c r="O5" s="29"/>
      <c r="P5" s="29"/>
      <c r="Q5" s="29"/>
      <c r="R5" s="33"/>
      <c r="S5" s="29"/>
      <c r="T5" s="29"/>
      <c r="U5" s="29"/>
      <c r="V5" s="29"/>
      <c r="W5" s="29"/>
      <c r="X5" s="33"/>
      <c r="AD5" s="32"/>
      <c r="AJ5" s="32"/>
    </row>
    <row r="6" spans="1:36" s="23" customFormat="1" ht="18" customHeight="1">
      <c r="A6" s="40"/>
      <c r="B6" s="44" t="s">
        <v>229</v>
      </c>
      <c r="C6" s="51">
        <v>2338</v>
      </c>
      <c r="D6" s="51">
        <v>-8308</v>
      </c>
      <c r="E6" s="40" t="s">
        <v>189</v>
      </c>
      <c r="K6" s="29"/>
      <c r="L6" s="33"/>
      <c r="M6" s="29"/>
      <c r="N6" s="29"/>
      <c r="O6" s="29"/>
      <c r="P6" s="29"/>
      <c r="Q6" s="29"/>
      <c r="R6" s="33"/>
      <c r="S6" s="29"/>
      <c r="T6" s="29"/>
      <c r="U6" s="29"/>
      <c r="V6" s="29"/>
      <c r="W6" s="29"/>
      <c r="X6" s="33"/>
      <c r="AD6" s="32"/>
      <c r="AJ6" s="32"/>
    </row>
    <row r="7" spans="1:36" s="23" customFormat="1" ht="18" customHeight="1">
      <c r="A7" s="40"/>
      <c r="B7" s="44" t="s">
        <v>228</v>
      </c>
      <c r="C7" s="51">
        <v>2402</v>
      </c>
      <c r="D7" s="51">
        <v>-8708</v>
      </c>
      <c r="E7" s="40" t="s">
        <v>189</v>
      </c>
      <c r="K7" s="29"/>
      <c r="L7" s="33"/>
      <c r="M7" s="29"/>
      <c r="N7" s="29"/>
      <c r="O7" s="29"/>
      <c r="P7" s="29"/>
      <c r="Q7" s="29"/>
      <c r="R7" s="33"/>
      <c r="S7" s="29"/>
      <c r="T7" s="29"/>
      <c r="U7" s="29"/>
      <c r="V7" s="29"/>
      <c r="W7" s="29"/>
      <c r="X7" s="33"/>
      <c r="AD7" s="32"/>
      <c r="AJ7" s="32"/>
    </row>
    <row r="8" spans="1:36" s="23" customFormat="1" ht="18" customHeight="1">
      <c r="A8" s="40"/>
      <c r="B8" s="44" t="s">
        <v>228</v>
      </c>
      <c r="C8" s="51">
        <v>0</v>
      </c>
      <c r="D8" s="51">
        <v>-7200</v>
      </c>
      <c r="E8" s="40" t="s">
        <v>175</v>
      </c>
      <c r="K8" s="29"/>
      <c r="L8" s="33"/>
      <c r="M8" s="29"/>
      <c r="N8" s="29"/>
      <c r="O8" s="29"/>
      <c r="P8" s="29"/>
      <c r="Q8" s="29"/>
      <c r="R8" s="33"/>
      <c r="S8" s="29"/>
      <c r="T8" s="29"/>
      <c r="U8" s="29"/>
      <c r="X8" s="32"/>
      <c r="AD8" s="32"/>
      <c r="AJ8" s="32"/>
    </row>
    <row r="9" spans="1:36" s="23" customFormat="1" ht="18" customHeight="1">
      <c r="A9" s="40"/>
      <c r="B9" s="44" t="s">
        <v>227</v>
      </c>
      <c r="C9" s="51">
        <v>0</v>
      </c>
      <c r="D9" s="51">
        <v>-7332</v>
      </c>
      <c r="E9" s="40" t="s">
        <v>175</v>
      </c>
      <c r="K9" s="29"/>
      <c r="L9" s="33"/>
      <c r="M9" s="29"/>
      <c r="N9" s="29"/>
      <c r="O9" s="29"/>
      <c r="P9" s="29"/>
      <c r="Q9" s="29"/>
      <c r="R9" s="33"/>
      <c r="S9" s="29"/>
      <c r="T9" s="29"/>
      <c r="U9" s="29"/>
      <c r="X9" s="32"/>
      <c r="AD9" s="32"/>
      <c r="AJ9" s="32"/>
    </row>
    <row r="10" spans="1:36" s="23" customFormat="1" ht="18" customHeight="1">
      <c r="A10" s="40"/>
      <c r="B10" s="44" t="s">
        <v>227</v>
      </c>
      <c r="C10" s="51">
        <v>2534</v>
      </c>
      <c r="D10" s="51">
        <v>-8708</v>
      </c>
      <c r="E10" s="40" t="s">
        <v>189</v>
      </c>
      <c r="K10" s="29"/>
      <c r="L10" s="33"/>
      <c r="M10" s="29"/>
      <c r="N10" s="29"/>
      <c r="O10" s="29"/>
      <c r="P10" s="29"/>
      <c r="Q10" s="29"/>
      <c r="R10" s="33"/>
      <c r="S10" s="29"/>
      <c r="T10" s="29"/>
      <c r="U10" s="29"/>
      <c r="X10" s="32"/>
      <c r="AD10" s="32"/>
      <c r="AJ10" s="32"/>
    </row>
    <row r="11" spans="1:36" s="23" customFormat="1" ht="18" customHeight="1">
      <c r="A11" s="40"/>
      <c r="B11" s="44" t="s">
        <v>215</v>
      </c>
      <c r="C11" s="51">
        <v>0</v>
      </c>
      <c r="D11" s="51">
        <v>-7264</v>
      </c>
      <c r="E11" s="40" t="s">
        <v>175</v>
      </c>
      <c r="K11" s="29"/>
      <c r="L11" s="33"/>
      <c r="M11" s="29"/>
      <c r="N11" s="29"/>
      <c r="O11" s="29"/>
      <c r="P11" s="29"/>
      <c r="Q11" s="29"/>
      <c r="R11" s="33"/>
      <c r="S11" s="29"/>
      <c r="T11" s="29"/>
      <c r="U11" s="29"/>
      <c r="X11" s="32"/>
      <c r="AD11" s="32"/>
      <c r="AJ11" s="32"/>
    </row>
    <row r="12" spans="1:36" s="23" customFormat="1" ht="18" customHeight="1">
      <c r="A12" s="40"/>
      <c r="B12" s="44" t="s">
        <v>215</v>
      </c>
      <c r="C12" s="51">
        <v>2466</v>
      </c>
      <c r="D12" s="51">
        <v>-8708</v>
      </c>
      <c r="E12" s="40" t="s">
        <v>189</v>
      </c>
      <c r="K12" s="29"/>
      <c r="L12" s="33"/>
      <c r="M12" s="29"/>
      <c r="N12" s="29"/>
      <c r="O12" s="29"/>
      <c r="P12" s="29"/>
      <c r="Q12" s="29"/>
      <c r="R12" s="33"/>
      <c r="S12" s="29"/>
      <c r="T12" s="29"/>
      <c r="U12" s="29"/>
      <c r="X12" s="32"/>
      <c r="AD12" s="32"/>
      <c r="AJ12" s="32"/>
    </row>
    <row r="13" spans="1:36" s="23" customFormat="1" ht="18" customHeight="1">
      <c r="A13" s="40"/>
      <c r="B13" s="44" t="s">
        <v>212</v>
      </c>
      <c r="C13" s="51">
        <v>10854</v>
      </c>
      <c r="D13" s="51">
        <v>-9054</v>
      </c>
      <c r="E13" s="40" t="s">
        <v>189</v>
      </c>
      <c r="K13" s="29"/>
      <c r="L13" s="33"/>
      <c r="M13" s="29"/>
      <c r="N13" s="29"/>
      <c r="O13" s="29"/>
      <c r="P13" s="29"/>
      <c r="Q13" s="29"/>
      <c r="R13" s="33"/>
      <c r="S13" s="29"/>
      <c r="T13" s="29"/>
      <c r="U13" s="29"/>
      <c r="X13" s="32"/>
      <c r="AD13" s="32"/>
      <c r="AJ13" s="32"/>
    </row>
    <row r="14" spans="1:36" s="23" customFormat="1" ht="18" customHeight="1">
      <c r="A14" s="40"/>
      <c r="B14" s="44" t="s">
        <v>211</v>
      </c>
      <c r="C14" s="51">
        <v>8482</v>
      </c>
      <c r="D14" s="51">
        <v>9974</v>
      </c>
      <c r="E14" s="40" t="s">
        <v>175</v>
      </c>
      <c r="K14" s="29"/>
      <c r="L14" s="33"/>
      <c r="M14" s="29"/>
      <c r="N14" s="29"/>
      <c r="O14" s="29"/>
      <c r="P14" s="29"/>
      <c r="Q14" s="29"/>
      <c r="R14" s="33"/>
      <c r="S14" s="29"/>
      <c r="T14" s="29"/>
      <c r="U14" s="29"/>
      <c r="X14" s="32"/>
      <c r="AD14" s="32"/>
      <c r="AJ14" s="32"/>
    </row>
    <row r="15" spans="1:36" s="23" customFormat="1" ht="18" customHeight="1">
      <c r="A15" s="40"/>
      <c r="B15" s="44" t="s">
        <v>210</v>
      </c>
      <c r="C15" s="51">
        <v>-10603</v>
      </c>
      <c r="D15" s="51">
        <v>-1056</v>
      </c>
      <c r="E15" s="40" t="s">
        <v>189</v>
      </c>
      <c r="K15" s="29"/>
      <c r="L15" s="33"/>
      <c r="M15" s="29"/>
      <c r="N15" s="29"/>
      <c r="O15" s="29"/>
      <c r="P15" s="29"/>
      <c r="Q15" s="29"/>
      <c r="R15" s="33"/>
      <c r="S15" s="29"/>
      <c r="T15" s="29"/>
      <c r="U15" s="29"/>
      <c r="X15" s="32"/>
      <c r="AD15" s="32"/>
      <c r="AJ15" s="32"/>
    </row>
    <row r="16" spans="1:36" s="23" customFormat="1" ht="18" customHeight="1">
      <c r="A16" s="40"/>
      <c r="B16" s="44" t="s">
        <v>209</v>
      </c>
      <c r="C16" s="51">
        <v>-10603</v>
      </c>
      <c r="D16" s="51">
        <v>1056</v>
      </c>
      <c r="E16" s="40" t="s">
        <v>189</v>
      </c>
      <c r="K16" s="29"/>
      <c r="L16" s="33"/>
      <c r="M16" s="29"/>
      <c r="N16" s="29"/>
      <c r="O16" s="29"/>
      <c r="P16" s="29"/>
      <c r="Q16" s="29"/>
      <c r="R16" s="33"/>
      <c r="S16" s="29"/>
      <c r="T16" s="29"/>
      <c r="U16" s="29"/>
      <c r="X16" s="32"/>
      <c r="AD16" s="32"/>
      <c r="AJ16" s="32"/>
    </row>
    <row r="17" spans="1:36" s="23" customFormat="1" ht="18" customHeight="1">
      <c r="A17" s="40"/>
      <c r="B17" s="44" t="s">
        <v>208</v>
      </c>
      <c r="C17" s="51">
        <v>6163</v>
      </c>
      <c r="D17" s="51">
        <v>-8788</v>
      </c>
      <c r="E17" s="40" t="s">
        <v>189</v>
      </c>
      <c r="K17" s="29"/>
      <c r="L17" s="33"/>
      <c r="M17" s="29"/>
      <c r="N17" s="29"/>
      <c r="O17" s="29"/>
      <c r="P17" s="29"/>
      <c r="Q17" s="29"/>
      <c r="R17" s="33"/>
      <c r="S17" s="29"/>
      <c r="T17" s="29"/>
      <c r="U17" s="29"/>
      <c r="X17" s="32"/>
      <c r="AD17" s="32"/>
      <c r="AJ17" s="32"/>
    </row>
    <row r="18" spans="1:36" s="23" customFormat="1" ht="18" customHeight="1">
      <c r="A18" s="40"/>
      <c r="B18" s="44" t="s">
        <v>207</v>
      </c>
      <c r="C18" s="51">
        <v>-10603</v>
      </c>
      <c r="D18" s="51">
        <v>-2112</v>
      </c>
      <c r="E18" s="40" t="s">
        <v>189</v>
      </c>
      <c r="K18" s="29"/>
      <c r="L18" s="33"/>
      <c r="M18" s="29"/>
      <c r="N18" s="29"/>
      <c r="O18" s="29"/>
      <c r="P18" s="29"/>
      <c r="Q18" s="29"/>
      <c r="R18" s="33"/>
      <c r="S18" s="29"/>
      <c r="T18" s="29"/>
      <c r="U18" s="29"/>
      <c r="X18" s="32"/>
      <c r="AD18" s="32"/>
      <c r="AJ18" s="32"/>
    </row>
    <row r="19" spans="1:36" s="23" customFormat="1" ht="18" customHeight="1">
      <c r="A19" s="40"/>
      <c r="B19" s="44" t="s">
        <v>206</v>
      </c>
      <c r="C19" s="51">
        <v>-10603</v>
      </c>
      <c r="D19" s="51">
        <v>2112</v>
      </c>
      <c r="E19" s="40" t="s">
        <v>189</v>
      </c>
      <c r="K19" s="29"/>
      <c r="L19" s="33"/>
      <c r="M19" s="29"/>
      <c r="N19" s="29"/>
      <c r="O19" s="29"/>
      <c r="P19" s="29"/>
      <c r="Q19" s="29"/>
      <c r="R19" s="33"/>
      <c r="S19" s="29"/>
      <c r="T19" s="29"/>
      <c r="U19" s="29"/>
      <c r="X19" s="32"/>
      <c r="AD19" s="32"/>
      <c r="AJ19" s="32"/>
    </row>
    <row r="20" spans="1:36" s="23" customFormat="1" ht="18" customHeight="1">
      <c r="A20" s="40"/>
      <c r="B20" s="44" t="s">
        <v>205</v>
      </c>
      <c r="C20" s="51">
        <v>5518</v>
      </c>
      <c r="D20" s="51">
        <v>9574</v>
      </c>
      <c r="E20" s="40" t="s">
        <v>189</v>
      </c>
      <c r="K20" s="29"/>
      <c r="L20" s="33"/>
      <c r="M20" s="29"/>
      <c r="N20" s="29"/>
      <c r="O20" s="29"/>
      <c r="P20" s="29"/>
      <c r="Q20" s="29"/>
      <c r="R20" s="33"/>
      <c r="S20" s="29"/>
      <c r="T20" s="29"/>
      <c r="U20" s="29"/>
      <c r="X20" s="32"/>
      <c r="AD20" s="32"/>
      <c r="AJ20" s="32"/>
    </row>
    <row r="21" spans="1:36" s="23" customFormat="1" ht="18" customHeight="1">
      <c r="A21" s="40"/>
      <c r="B21" s="44" t="s">
        <v>204</v>
      </c>
      <c r="C21" s="51">
        <v>-10603</v>
      </c>
      <c r="D21" s="51">
        <v>-3168</v>
      </c>
      <c r="E21" s="40" t="s">
        <v>189</v>
      </c>
      <c r="K21" s="29"/>
      <c r="L21" s="33"/>
      <c r="M21" s="29"/>
      <c r="N21" s="29"/>
      <c r="O21" s="29"/>
      <c r="P21" s="29"/>
      <c r="Q21" s="29"/>
      <c r="R21" s="33"/>
      <c r="S21" s="29"/>
      <c r="T21" s="29"/>
      <c r="U21" s="29"/>
      <c r="X21" s="32"/>
      <c r="AD21" s="32"/>
      <c r="AJ21" s="32"/>
    </row>
    <row r="22" spans="1:36" s="23" customFormat="1" ht="18" customHeight="1">
      <c r="A22" s="40"/>
      <c r="B22" s="44" t="s">
        <v>203</v>
      </c>
      <c r="C22" s="51">
        <v>1728</v>
      </c>
      <c r="D22" s="51">
        <v>-7288</v>
      </c>
      <c r="E22" s="40" t="s">
        <v>189</v>
      </c>
      <c r="K22" s="29"/>
      <c r="L22" s="33"/>
      <c r="M22" s="29"/>
      <c r="N22" s="29"/>
      <c r="O22" s="29"/>
      <c r="P22" s="29"/>
      <c r="Q22" s="29"/>
      <c r="R22" s="33"/>
      <c r="S22" s="29"/>
      <c r="T22" s="29"/>
      <c r="U22" s="29"/>
      <c r="X22" s="32"/>
      <c r="AD22" s="32"/>
      <c r="AJ22" s="32"/>
    </row>
    <row r="23" spans="1:36" s="23" customFormat="1" ht="18" customHeight="1">
      <c r="A23" s="40"/>
      <c r="B23" s="44" t="s">
        <v>202</v>
      </c>
      <c r="C23" s="51">
        <v>-1788</v>
      </c>
      <c r="D23" s="51">
        <v>-7292</v>
      </c>
      <c r="E23" s="40" t="s">
        <v>189</v>
      </c>
      <c r="K23" s="29"/>
      <c r="L23" s="33"/>
      <c r="M23" s="29"/>
      <c r="N23" s="29"/>
      <c r="O23" s="29"/>
      <c r="P23" s="29"/>
      <c r="Q23" s="29"/>
      <c r="R23" s="33"/>
      <c r="S23" s="29"/>
      <c r="T23" s="29"/>
      <c r="U23" s="29"/>
      <c r="X23" s="32"/>
      <c r="AD23" s="32"/>
      <c r="AJ23" s="32"/>
    </row>
    <row r="24" spans="1:36" s="23" customFormat="1" ht="18" customHeight="1">
      <c r="A24" s="40"/>
      <c r="B24" s="44" t="s">
        <v>201</v>
      </c>
      <c r="C24" s="51">
        <v>0</v>
      </c>
      <c r="D24" s="51">
        <v>-7608</v>
      </c>
      <c r="E24" s="40" t="s">
        <v>189</v>
      </c>
      <c r="K24" s="29"/>
      <c r="L24" s="33"/>
      <c r="M24" s="29"/>
      <c r="N24" s="29"/>
      <c r="O24" s="29"/>
      <c r="P24" s="29"/>
      <c r="Q24" s="29"/>
      <c r="R24" s="33"/>
      <c r="S24" s="29"/>
      <c r="T24" s="29"/>
      <c r="U24" s="29"/>
      <c r="X24" s="32"/>
      <c r="AD24" s="32"/>
      <c r="AJ24" s="32"/>
    </row>
    <row r="25" spans="1:36" s="23" customFormat="1" ht="18" customHeight="1">
      <c r="A25" s="40"/>
      <c r="B25" s="44" t="s">
        <v>200</v>
      </c>
      <c r="C25" s="51">
        <v>2784</v>
      </c>
      <c r="D25" s="51">
        <v>-7128</v>
      </c>
      <c r="E25" s="40" t="s">
        <v>189</v>
      </c>
      <c r="K25" s="29"/>
      <c r="L25" s="33"/>
      <c r="M25" s="29"/>
      <c r="N25" s="29"/>
      <c r="O25" s="29"/>
      <c r="P25" s="29"/>
      <c r="Q25" s="29"/>
      <c r="R25" s="33"/>
      <c r="S25" s="29"/>
      <c r="T25" s="29"/>
      <c r="U25" s="29"/>
      <c r="X25" s="32"/>
      <c r="AD25" s="32"/>
      <c r="AJ25" s="32"/>
    </row>
    <row r="26" spans="1:36" s="23" customFormat="1" ht="18" customHeight="1">
      <c r="A26" s="40"/>
      <c r="B26" s="44" t="s">
        <v>199</v>
      </c>
      <c r="C26" s="51">
        <v>2784</v>
      </c>
      <c r="D26" s="51">
        <v>-8184</v>
      </c>
      <c r="E26" s="40" t="s">
        <v>189</v>
      </c>
      <c r="K26" s="29"/>
      <c r="L26" s="33"/>
      <c r="M26" s="29"/>
      <c r="N26" s="29"/>
      <c r="O26" s="29"/>
      <c r="P26" s="29"/>
      <c r="Q26" s="29"/>
      <c r="R26" s="33"/>
      <c r="S26" s="29"/>
      <c r="T26" s="29"/>
      <c r="U26" s="29"/>
      <c r="X26" s="32"/>
      <c r="AD26" s="32"/>
      <c r="AJ26" s="32"/>
    </row>
    <row r="27" spans="1:36" s="23" customFormat="1" ht="18" customHeight="1">
      <c r="A27" s="40"/>
      <c r="B27" s="44" t="s">
        <v>198</v>
      </c>
      <c r="C27" s="51">
        <v>2690</v>
      </c>
      <c r="D27" s="51">
        <v>-9240</v>
      </c>
      <c r="E27" s="40" t="s">
        <v>189</v>
      </c>
      <c r="K27" s="29"/>
      <c r="L27" s="33"/>
      <c r="M27" s="29"/>
      <c r="N27" s="29"/>
      <c r="O27" s="29"/>
      <c r="P27" s="29"/>
      <c r="Q27" s="29"/>
      <c r="R27" s="33"/>
      <c r="S27" s="29"/>
      <c r="T27" s="29"/>
      <c r="U27" s="29"/>
      <c r="X27" s="32"/>
      <c r="AD27" s="32"/>
      <c r="AJ27" s="32"/>
    </row>
    <row r="28" spans="1:36" s="23" customFormat="1" ht="18" customHeight="1">
      <c r="A28" s="40"/>
      <c r="B28" s="44" t="s">
        <v>197</v>
      </c>
      <c r="C28" s="51">
        <v>3746</v>
      </c>
      <c r="D28" s="51">
        <v>-9240</v>
      </c>
      <c r="E28" s="40" t="s">
        <v>189</v>
      </c>
      <c r="K28" s="29"/>
      <c r="L28" s="33"/>
      <c r="M28" s="29"/>
      <c r="N28" s="29"/>
      <c r="O28" s="29"/>
      <c r="P28" s="29"/>
      <c r="Q28" s="29"/>
      <c r="R28" s="33"/>
      <c r="S28" s="29"/>
      <c r="T28" s="29"/>
      <c r="U28" s="29"/>
      <c r="X28" s="32"/>
      <c r="AD28" s="32"/>
      <c r="AJ28" s="32"/>
    </row>
    <row r="29" spans="1:36" s="29" customFormat="1" ht="18" customHeight="1">
      <c r="A29" s="40"/>
      <c r="B29" s="44" t="s">
        <v>196</v>
      </c>
      <c r="C29" s="51">
        <v>-5518</v>
      </c>
      <c r="D29" s="51">
        <v>8988</v>
      </c>
      <c r="E29" s="40" t="s">
        <v>189</v>
      </c>
      <c r="L29" s="33"/>
      <c r="R29" s="33"/>
      <c r="X29" s="33"/>
      <c r="AD29" s="33"/>
      <c r="AJ29" s="33"/>
    </row>
    <row r="30" spans="1:36" s="23" customFormat="1" ht="18" customHeight="1">
      <c r="A30" s="40"/>
      <c r="B30" s="44" t="s">
        <v>195</v>
      </c>
      <c r="C30" s="51">
        <v>-10603</v>
      </c>
      <c r="D30" s="51">
        <v>0</v>
      </c>
      <c r="E30" s="40" t="s">
        <v>189</v>
      </c>
      <c r="K30" s="29"/>
      <c r="L30" s="33"/>
      <c r="M30" s="29"/>
      <c r="N30" s="29"/>
      <c r="O30" s="29"/>
      <c r="P30" s="29"/>
      <c r="Q30" s="29"/>
      <c r="R30" s="33"/>
      <c r="S30" s="29"/>
      <c r="T30" s="29"/>
      <c r="U30" s="29"/>
      <c r="X30" s="32"/>
      <c r="AD30" s="32"/>
      <c r="AJ30" s="32"/>
    </row>
    <row r="31" spans="1:36" s="23" customFormat="1" ht="18" customHeight="1">
      <c r="A31" s="76"/>
      <c r="B31" s="89"/>
      <c r="C31" s="97"/>
      <c r="D31" s="97"/>
      <c r="E31" s="76"/>
      <c r="K31" s="29"/>
      <c r="L31" s="33"/>
      <c r="M31" s="29"/>
      <c r="N31" s="29"/>
      <c r="O31" s="29"/>
      <c r="P31" s="29"/>
      <c r="Q31" s="29"/>
      <c r="R31" s="33"/>
      <c r="S31" s="29"/>
      <c r="T31" s="29"/>
      <c r="U31" s="29"/>
      <c r="X31" s="32"/>
      <c r="AD31" s="32"/>
      <c r="AJ31" s="32"/>
    </row>
    <row r="32" spans="1:36" s="23" customFormat="1" ht="18" customHeight="1">
      <c r="A32" s="29"/>
      <c r="B32" s="33"/>
      <c r="C32" s="53"/>
      <c r="D32" s="53"/>
      <c r="E32" s="29"/>
      <c r="K32" s="29"/>
      <c r="L32" s="33"/>
      <c r="M32" s="29"/>
      <c r="N32" s="29"/>
      <c r="O32" s="29"/>
      <c r="P32" s="29"/>
      <c r="Q32" s="29"/>
      <c r="R32" s="33"/>
      <c r="S32" s="29"/>
      <c r="T32" s="29"/>
      <c r="U32" s="29"/>
      <c r="X32" s="32"/>
      <c r="AD32" s="32"/>
      <c r="AJ32" s="32"/>
    </row>
    <row r="33" spans="2:36" s="29" customFormat="1" ht="18" customHeight="1">
      <c r="B33" s="33"/>
      <c r="C33" s="53"/>
      <c r="D33" s="53"/>
      <c r="L33" s="33"/>
      <c r="R33" s="33"/>
      <c r="X33" s="33"/>
      <c r="AD33" s="33"/>
      <c r="AJ33" s="33"/>
    </row>
    <row r="34" spans="2:36" s="29" customFormat="1" ht="18" customHeight="1">
      <c r="B34" s="33"/>
      <c r="C34" s="53"/>
      <c r="D34" s="53"/>
      <c r="L34" s="33"/>
      <c r="R34" s="33"/>
      <c r="X34" s="33"/>
      <c r="AD34" s="33"/>
      <c r="AJ34" s="33"/>
    </row>
    <row r="35" spans="2:36" s="29" customFormat="1" ht="18" customHeight="1">
      <c r="B35" s="33"/>
      <c r="C35" s="53"/>
      <c r="D35" s="53"/>
      <c r="L35" s="33"/>
      <c r="R35" s="33"/>
      <c r="X35" s="33"/>
      <c r="AD35" s="33"/>
      <c r="AJ35" s="33"/>
    </row>
    <row r="36" spans="2:36" s="29" customFormat="1" ht="18" customHeight="1">
      <c r="B36" s="33"/>
      <c r="C36" s="53"/>
      <c r="D36" s="53"/>
      <c r="L36" s="33"/>
      <c r="R36" s="33"/>
      <c r="X36" s="33"/>
      <c r="AD36" s="33"/>
      <c r="AJ36" s="33"/>
    </row>
    <row r="37" spans="2:36" s="29" customFormat="1" ht="18" customHeight="1">
      <c r="B37" s="33"/>
      <c r="C37" s="53"/>
      <c r="D37" s="53"/>
      <c r="L37" s="33"/>
      <c r="R37" s="33"/>
      <c r="X37" s="33"/>
      <c r="AD37" s="33"/>
      <c r="AJ37" s="33"/>
    </row>
    <row r="38" spans="2:36" s="29" customFormat="1" ht="18" customHeight="1">
      <c r="B38" s="33"/>
      <c r="C38" s="53"/>
      <c r="D38" s="53"/>
      <c r="L38" s="33"/>
      <c r="R38" s="33"/>
      <c r="X38" s="33"/>
      <c r="AD38" s="33"/>
      <c r="AJ38" s="33"/>
    </row>
    <row r="39" spans="2:36" s="29" customFormat="1" ht="18" customHeight="1">
      <c r="B39" s="33"/>
      <c r="C39" s="53"/>
      <c r="D39" s="53"/>
      <c r="L39" s="33"/>
      <c r="R39" s="33"/>
      <c r="X39" s="33"/>
      <c r="AD39" s="33"/>
      <c r="AJ39" s="33"/>
    </row>
    <row r="40" spans="2:36" s="29" customFormat="1" ht="18" customHeight="1">
      <c r="B40" s="33"/>
      <c r="C40" s="53"/>
      <c r="D40" s="53"/>
      <c r="L40" s="33"/>
      <c r="R40" s="33"/>
      <c r="X40" s="33"/>
      <c r="AD40" s="33"/>
      <c r="AJ40" s="33"/>
    </row>
    <row r="41" spans="2:36" s="29" customFormat="1" ht="18" customHeight="1">
      <c r="B41" s="33"/>
      <c r="C41" s="53"/>
      <c r="D41" s="53"/>
      <c r="L41" s="33"/>
      <c r="R41" s="33"/>
      <c r="X41" s="33"/>
      <c r="AD41" s="33"/>
      <c r="AJ41" s="33"/>
    </row>
    <row r="42" spans="2:36" s="29" customFormat="1" ht="18" customHeight="1">
      <c r="B42" s="33"/>
      <c r="C42" s="53"/>
      <c r="D42" s="53"/>
      <c r="L42" s="33"/>
      <c r="R42" s="33"/>
      <c r="X42" s="33"/>
      <c r="AD42" s="33"/>
      <c r="AJ42" s="33"/>
    </row>
    <row r="43" spans="2:36" s="29" customFormat="1" ht="18" customHeight="1">
      <c r="B43" s="33"/>
      <c r="C43" s="53"/>
      <c r="D43" s="53"/>
      <c r="L43" s="33"/>
      <c r="R43" s="33"/>
      <c r="X43" s="33"/>
      <c r="AD43" s="33"/>
      <c r="AJ43" s="33"/>
    </row>
    <row r="44" spans="2:36" s="29" customFormat="1" ht="18" customHeight="1">
      <c r="B44" s="33"/>
      <c r="C44" s="53"/>
      <c r="D44" s="53"/>
      <c r="L44" s="33"/>
      <c r="R44" s="33"/>
      <c r="X44" s="33"/>
      <c r="AD44" s="33"/>
      <c r="AJ44" s="33"/>
    </row>
    <row r="45" spans="2:36" s="29" customFormat="1" ht="18" customHeight="1">
      <c r="B45" s="33"/>
      <c r="C45" s="53"/>
      <c r="D45" s="53"/>
      <c r="L45" s="33"/>
      <c r="R45" s="33"/>
      <c r="X45" s="33"/>
      <c r="AD45" s="33"/>
      <c r="AJ45" s="33"/>
    </row>
    <row r="46" spans="2:36" s="29" customFormat="1" ht="18" customHeight="1">
      <c r="B46" s="33"/>
      <c r="C46" s="53"/>
      <c r="D46" s="53"/>
      <c r="L46" s="33"/>
      <c r="R46" s="33"/>
      <c r="X46" s="33"/>
      <c r="AD46" s="33"/>
      <c r="AJ46" s="33"/>
    </row>
    <row r="47" spans="2:36" s="29" customFormat="1" ht="18" customHeight="1">
      <c r="B47" s="33"/>
      <c r="C47" s="53"/>
      <c r="D47" s="53"/>
      <c r="L47" s="33"/>
      <c r="R47" s="33"/>
      <c r="X47" s="33"/>
      <c r="AD47" s="33"/>
      <c r="AJ47" s="33"/>
    </row>
    <row r="48" spans="2:36" s="29" customFormat="1" ht="18" customHeight="1">
      <c r="B48" s="33"/>
      <c r="C48" s="53"/>
      <c r="D48" s="53"/>
      <c r="L48" s="33"/>
      <c r="R48" s="33"/>
      <c r="X48" s="33"/>
      <c r="AD48" s="33"/>
      <c r="AJ48" s="33"/>
    </row>
    <row r="49" spans="1:36" s="29" customFormat="1" ht="18" customHeight="1">
      <c r="B49" s="33"/>
      <c r="C49" s="53"/>
      <c r="D49" s="53"/>
      <c r="L49" s="33"/>
      <c r="R49" s="33"/>
      <c r="X49" s="33"/>
      <c r="AD49" s="33"/>
      <c r="AJ49" s="33"/>
    </row>
    <row r="50" spans="1:36" s="29" customFormat="1" ht="18" customHeight="1">
      <c r="B50" s="33"/>
      <c r="C50" s="53"/>
      <c r="D50" s="53"/>
      <c r="L50" s="33"/>
      <c r="R50" s="33"/>
      <c r="X50" s="33"/>
      <c r="AD50" s="33"/>
      <c r="AJ50" s="33"/>
    </row>
    <row r="51" spans="1:36" s="29" customFormat="1" ht="18" customHeight="1">
      <c r="B51" s="33"/>
      <c r="C51" s="53"/>
      <c r="D51" s="53"/>
      <c r="L51" s="33"/>
      <c r="R51" s="33"/>
      <c r="X51" s="33"/>
      <c r="AD51" s="33"/>
      <c r="AJ51" s="33"/>
    </row>
    <row r="52" spans="1:36" s="29" customFormat="1" ht="18" customHeight="1">
      <c r="B52" s="33"/>
      <c r="C52" s="53"/>
      <c r="D52" s="53"/>
      <c r="L52" s="33"/>
      <c r="R52" s="33"/>
      <c r="X52" s="33"/>
      <c r="AD52" s="33"/>
      <c r="AJ52" s="33"/>
    </row>
    <row r="53" spans="1:36" ht="18" customHeight="1">
      <c r="A53" s="22"/>
      <c r="B53" s="32"/>
      <c r="C53" s="52"/>
      <c r="D53" s="52"/>
      <c r="E53" s="23"/>
    </row>
    <row r="54" spans="1:36" ht="18" customHeight="1">
      <c r="A54" s="22"/>
      <c r="B54" s="32"/>
      <c r="C54" s="52"/>
      <c r="D54" s="52"/>
      <c r="E54" s="23"/>
    </row>
    <row r="55" spans="1:36" ht="18" customHeight="1">
      <c r="A55" s="22"/>
      <c r="B55" s="32"/>
      <c r="C55" s="52"/>
      <c r="D55" s="52"/>
      <c r="E55" s="23"/>
    </row>
    <row r="56" spans="1:36" ht="18" customHeight="1">
      <c r="A56" s="22"/>
      <c r="B56" s="32"/>
      <c r="C56" s="52"/>
      <c r="D56" s="52"/>
      <c r="E56" s="23"/>
    </row>
    <row r="57" spans="1:36" ht="18" customHeight="1">
      <c r="A57" s="22"/>
      <c r="B57" s="32"/>
      <c r="C57" s="52"/>
      <c r="D57" s="52"/>
      <c r="E57" s="23"/>
    </row>
    <row r="58" spans="1:36" ht="18" customHeight="1">
      <c r="A58" s="22"/>
      <c r="B58" s="32"/>
      <c r="C58" s="52"/>
      <c r="D58" s="52"/>
      <c r="E58" s="23"/>
    </row>
    <row r="59" spans="1:36" ht="18" customHeight="1">
      <c r="A59" s="22"/>
      <c r="B59" s="32"/>
      <c r="C59" s="52"/>
      <c r="D59" s="52"/>
      <c r="E59" s="23"/>
    </row>
    <row r="60" spans="1:36" ht="18" customHeight="1">
      <c r="A60" s="22"/>
      <c r="B60" s="32"/>
      <c r="C60" s="52"/>
      <c r="D60" s="52"/>
      <c r="E60" s="23"/>
    </row>
    <row r="61" spans="1:36" ht="18" customHeight="1">
      <c r="A61" s="22"/>
      <c r="B61" s="32"/>
      <c r="C61" s="52"/>
      <c r="D61" s="52"/>
      <c r="E61" s="23"/>
    </row>
    <row r="62" spans="1:36" ht="18" customHeight="1">
      <c r="A62" s="22"/>
      <c r="B62" s="32"/>
      <c r="C62" s="52"/>
      <c r="D62" s="52"/>
      <c r="E62" s="23"/>
    </row>
    <row r="63" spans="1:36" ht="18" customHeight="1">
      <c r="A63" s="22"/>
      <c r="B63" s="32"/>
      <c r="C63" s="52"/>
      <c r="D63" s="52"/>
      <c r="E63" s="23"/>
    </row>
    <row r="64" spans="1:36" ht="18" customHeight="1">
      <c r="A64" s="22"/>
      <c r="B64" s="32"/>
      <c r="C64" s="52"/>
      <c r="D64" s="52"/>
      <c r="E64" s="23"/>
    </row>
    <row r="65" spans="1:5" ht="18" customHeight="1">
      <c r="A65" s="22"/>
      <c r="B65" s="32"/>
      <c r="C65" s="52"/>
      <c r="D65" s="52"/>
      <c r="E65" s="23"/>
    </row>
    <row r="66" spans="1:5" ht="18" customHeight="1">
      <c r="A66" s="22"/>
      <c r="B66" s="32"/>
      <c r="C66" s="52"/>
      <c r="D66" s="52"/>
      <c r="E66" s="23"/>
    </row>
    <row r="67" spans="1:5" ht="18" customHeight="1">
      <c r="A67" s="22"/>
      <c r="B67" s="32"/>
      <c r="C67" s="52"/>
      <c r="D67" s="52"/>
      <c r="E67" s="23"/>
    </row>
    <row r="68" spans="1:5" ht="18" customHeight="1">
      <c r="A68" s="22"/>
      <c r="B68" s="32"/>
      <c r="C68" s="52"/>
      <c r="D68" s="52"/>
      <c r="E68" s="23"/>
    </row>
    <row r="69" spans="1:5" ht="18" customHeight="1">
      <c r="A69" s="22"/>
      <c r="B69" s="32"/>
      <c r="C69" s="52"/>
      <c r="D69" s="52"/>
      <c r="E69" s="23"/>
    </row>
    <row r="70" spans="1:5" ht="18" customHeight="1">
      <c r="A70" s="22"/>
      <c r="B70" s="32"/>
      <c r="C70" s="52"/>
      <c r="D70" s="52"/>
      <c r="E70" s="23"/>
    </row>
    <row r="71" spans="1:5" ht="18" customHeight="1">
      <c r="A71" s="22"/>
      <c r="B71" s="32"/>
      <c r="C71" s="52"/>
      <c r="D71" s="52"/>
      <c r="E71" s="23"/>
    </row>
    <row r="72" spans="1:5" ht="18" customHeight="1">
      <c r="A72" s="22"/>
      <c r="B72" s="32"/>
      <c r="C72" s="52"/>
      <c r="D72" s="52"/>
      <c r="E72" s="23"/>
    </row>
    <row r="73" spans="1:5" ht="18" customHeight="1">
      <c r="A73" s="22"/>
      <c r="B73" s="32"/>
      <c r="C73" s="52"/>
      <c r="D73" s="52"/>
      <c r="E73" s="23"/>
    </row>
    <row r="74" spans="1:5" ht="18" customHeight="1">
      <c r="A74" s="22"/>
      <c r="B74" s="32"/>
      <c r="C74" s="52"/>
      <c r="D74" s="52"/>
      <c r="E74" s="23"/>
    </row>
    <row r="75" spans="1:5" ht="18" customHeight="1">
      <c r="A75" s="22"/>
      <c r="B75" s="32"/>
      <c r="C75" s="52"/>
      <c r="D75" s="52"/>
      <c r="E75" s="23"/>
    </row>
    <row r="76" spans="1:5" ht="18" customHeight="1">
      <c r="A76" s="22"/>
      <c r="B76" s="32"/>
      <c r="C76" s="52"/>
      <c r="D76" s="52"/>
      <c r="E76" s="23"/>
    </row>
  </sheetData>
  <phoneticPr fontId="8" type="noConversion"/>
  <printOptions horizontalCentered="1"/>
  <pageMargins left="0.39370078740157483" right="0.39370078740157483" top="0.39370078740157483" bottom="0.39370078740157483" header="0.19685039370078741" footer="0.19685039370078741"/>
  <pageSetup paperSize="9" scale="85" orientation="landscape" r:id="rId1"/>
  <headerFooter alignWithMargins="0">
    <oddFooter>&amp;C&amp;"Arial,標準"( &amp;P / &amp;N )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HF31"/>
  <sheetViews>
    <sheetView zoomScale="75" workbookViewId="0">
      <selection activeCell="N29" sqref="N29"/>
    </sheetView>
  </sheetViews>
  <sheetFormatPr defaultColWidth="10.625" defaultRowHeight="24" customHeight="1"/>
  <cols>
    <col min="1" max="1" width="22.625" style="4" customWidth="1"/>
    <col min="2" max="2" width="4.625" style="12" customWidth="1"/>
    <col min="3" max="3" width="10.625" style="12" customWidth="1"/>
    <col min="4" max="4" width="4.625" style="12" customWidth="1"/>
    <col min="5" max="5" width="10.625" style="12" customWidth="1"/>
    <col min="6" max="33" width="8.625" style="4" customWidth="1"/>
    <col min="34" max="16384" width="10.625" style="4"/>
  </cols>
  <sheetData>
    <row r="1" spans="1:214" ht="24" customHeight="1">
      <c r="A1" s="50"/>
    </row>
    <row r="2" spans="1:214" ht="24" customHeight="1" thickBot="1">
      <c r="B2" s="63"/>
    </row>
    <row r="3" spans="1:214" ht="24" customHeight="1" thickBot="1">
      <c r="A3" s="49" t="s">
        <v>73</v>
      </c>
      <c r="B3" s="345" t="s">
        <v>167</v>
      </c>
      <c r="C3" s="346"/>
      <c r="D3" s="346"/>
      <c r="E3" s="347"/>
    </row>
    <row r="4" spans="1:214" s="2" customFormat="1" ht="24" customHeight="1">
      <c r="A4" s="80" t="s">
        <v>74</v>
      </c>
      <c r="B4" s="358" t="s">
        <v>169</v>
      </c>
      <c r="C4" s="359"/>
      <c r="D4" s="359"/>
      <c r="E4" s="360"/>
      <c r="F4" s="30"/>
      <c r="G4" s="30"/>
      <c r="J4" s="30"/>
      <c r="K4" s="29"/>
      <c r="L4" s="29"/>
      <c r="M4" s="29"/>
      <c r="N4" s="29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  <c r="BY4" s="30"/>
      <c r="BZ4" s="30"/>
      <c r="CA4" s="30"/>
      <c r="CB4" s="30"/>
      <c r="CC4" s="30"/>
      <c r="CD4" s="30"/>
      <c r="CE4" s="30"/>
      <c r="CF4" s="30"/>
      <c r="CG4" s="30"/>
      <c r="CH4" s="30"/>
      <c r="CI4" s="30"/>
      <c r="CJ4" s="30"/>
      <c r="CK4" s="30"/>
      <c r="CL4" s="30"/>
      <c r="CM4" s="30"/>
      <c r="CN4" s="30"/>
      <c r="CO4" s="30"/>
      <c r="CP4" s="30"/>
      <c r="CQ4" s="30"/>
      <c r="CR4" s="30"/>
      <c r="CS4" s="30"/>
      <c r="CT4" s="30"/>
      <c r="CU4" s="30"/>
      <c r="CV4" s="30"/>
      <c r="CW4" s="30"/>
      <c r="CX4" s="30"/>
      <c r="CY4" s="30"/>
      <c r="CZ4" s="30"/>
      <c r="DA4" s="30"/>
      <c r="DB4" s="30"/>
      <c r="DC4" s="30"/>
      <c r="DD4" s="30"/>
      <c r="DE4" s="30"/>
      <c r="DF4" s="30"/>
      <c r="DG4" s="30"/>
      <c r="DH4" s="30"/>
      <c r="DI4" s="30"/>
      <c r="DJ4" s="30"/>
      <c r="DK4" s="30"/>
      <c r="DL4" s="30"/>
      <c r="DM4" s="30"/>
      <c r="DN4" s="30"/>
      <c r="DO4" s="30"/>
      <c r="DP4" s="30"/>
      <c r="DQ4" s="30"/>
      <c r="DR4" s="30"/>
      <c r="DS4" s="30"/>
      <c r="DT4" s="30"/>
      <c r="DU4" s="30"/>
      <c r="DV4" s="30"/>
      <c r="DW4" s="30"/>
      <c r="DX4" s="30"/>
      <c r="DY4" s="30"/>
      <c r="DZ4" s="30"/>
      <c r="EA4" s="30"/>
      <c r="EB4" s="30"/>
      <c r="EC4" s="30"/>
      <c r="ED4" s="30"/>
      <c r="EE4" s="30"/>
      <c r="EF4" s="30"/>
      <c r="EG4" s="30"/>
      <c r="EH4" s="30"/>
      <c r="EI4" s="30"/>
      <c r="EJ4" s="30"/>
      <c r="EK4" s="30"/>
      <c r="EL4" s="30"/>
      <c r="EM4" s="30"/>
      <c r="EN4" s="30"/>
      <c r="EO4" s="30"/>
      <c r="EP4" s="30"/>
      <c r="EQ4" s="30"/>
      <c r="ER4" s="30"/>
      <c r="ES4" s="30"/>
      <c r="ET4" s="30"/>
      <c r="EU4" s="30"/>
      <c r="EV4" s="30"/>
      <c r="EW4" s="30"/>
      <c r="EX4" s="30"/>
      <c r="EY4" s="30"/>
      <c r="EZ4" s="30"/>
      <c r="FA4" s="30"/>
      <c r="FB4" s="30"/>
      <c r="FC4" s="30"/>
      <c r="FD4" s="30"/>
      <c r="FE4" s="30"/>
      <c r="FF4" s="30"/>
      <c r="FG4" s="30"/>
      <c r="FH4" s="30"/>
      <c r="FI4" s="30"/>
      <c r="FJ4" s="30"/>
      <c r="FK4" s="30"/>
      <c r="FL4" s="30"/>
      <c r="FM4" s="30"/>
      <c r="FN4" s="30"/>
      <c r="FO4" s="30"/>
      <c r="FP4" s="30"/>
      <c r="FQ4" s="30"/>
      <c r="FR4" s="30"/>
      <c r="FS4" s="30"/>
      <c r="FT4" s="30"/>
      <c r="FU4" s="30"/>
      <c r="FV4" s="30"/>
      <c r="FW4" s="30"/>
      <c r="FX4" s="30"/>
      <c r="FY4" s="30"/>
      <c r="FZ4" s="30"/>
      <c r="GA4" s="30"/>
      <c r="GB4" s="30"/>
      <c r="GC4" s="30"/>
      <c r="GD4" s="30"/>
      <c r="GE4" s="30"/>
      <c r="GF4" s="30"/>
      <c r="GG4" s="30"/>
      <c r="GH4" s="30"/>
      <c r="GI4" s="30"/>
      <c r="GJ4" s="30"/>
      <c r="GK4" s="30"/>
      <c r="GL4" s="30"/>
      <c r="GM4" s="30"/>
      <c r="GN4" s="30"/>
      <c r="GO4" s="30"/>
      <c r="GP4" s="30"/>
      <c r="GQ4" s="30"/>
      <c r="GR4" s="30"/>
      <c r="GS4" s="30"/>
      <c r="GT4" s="30"/>
      <c r="GU4" s="30"/>
      <c r="GV4" s="30"/>
      <c r="GW4" s="30"/>
      <c r="GX4" s="30"/>
      <c r="GY4" s="30"/>
      <c r="GZ4" s="30"/>
      <c r="HA4" s="30"/>
    </row>
    <row r="5" spans="1:214" s="12" customFormat="1" ht="24" customHeight="1">
      <c r="A5" s="61" t="s">
        <v>75</v>
      </c>
      <c r="B5" s="348" t="s">
        <v>296</v>
      </c>
      <c r="C5" s="349"/>
      <c r="D5" s="349"/>
      <c r="E5" s="350"/>
      <c r="F5" s="22"/>
      <c r="G5" s="22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  <c r="EF5" s="23"/>
      <c r="EG5" s="23"/>
      <c r="EH5" s="23"/>
      <c r="EI5" s="23"/>
      <c r="EJ5" s="23"/>
      <c r="EK5" s="23"/>
      <c r="EL5" s="23"/>
      <c r="EM5" s="23"/>
      <c r="EN5" s="23"/>
      <c r="EO5" s="23"/>
      <c r="EP5" s="23"/>
      <c r="EQ5" s="23"/>
      <c r="ER5" s="23"/>
      <c r="ES5" s="23"/>
      <c r="ET5" s="23"/>
      <c r="EU5" s="23"/>
      <c r="EV5" s="23"/>
      <c r="EW5" s="23"/>
      <c r="EX5" s="23"/>
      <c r="EY5" s="23"/>
      <c r="EZ5" s="23"/>
      <c r="FA5" s="23"/>
      <c r="FB5" s="23"/>
      <c r="FC5" s="23"/>
      <c r="FD5" s="23"/>
      <c r="FE5" s="23"/>
      <c r="FF5" s="23"/>
      <c r="FG5" s="23"/>
      <c r="FH5" s="23"/>
      <c r="FI5" s="23"/>
      <c r="FJ5" s="23"/>
      <c r="FK5" s="23"/>
      <c r="FL5" s="23"/>
      <c r="FM5" s="23"/>
      <c r="FN5" s="23"/>
      <c r="FO5" s="23"/>
      <c r="FP5" s="23"/>
      <c r="FQ5" s="23"/>
      <c r="FR5" s="23"/>
      <c r="FS5" s="23"/>
      <c r="FT5" s="23"/>
      <c r="FU5" s="23"/>
      <c r="FV5" s="23"/>
      <c r="FW5" s="23"/>
      <c r="FX5" s="23"/>
      <c r="FY5" s="23"/>
      <c r="FZ5" s="23"/>
      <c r="GA5" s="23"/>
      <c r="GB5" s="23"/>
      <c r="GC5" s="23"/>
      <c r="GD5" s="23"/>
      <c r="GE5" s="23"/>
      <c r="GF5" s="23"/>
      <c r="GG5" s="23"/>
      <c r="GH5" s="23"/>
      <c r="GI5" s="23"/>
      <c r="GJ5" s="23"/>
      <c r="GK5" s="23"/>
      <c r="GL5" s="23"/>
      <c r="GM5" s="23"/>
      <c r="GN5" s="23"/>
      <c r="GO5" s="23"/>
      <c r="GP5" s="23"/>
      <c r="GQ5" s="23"/>
      <c r="GR5" s="23"/>
      <c r="GS5" s="23"/>
      <c r="GT5" s="23"/>
      <c r="GU5" s="23"/>
      <c r="GV5" s="23"/>
      <c r="GW5" s="23"/>
      <c r="GX5" s="23"/>
      <c r="GY5" s="23"/>
      <c r="GZ5" s="23"/>
      <c r="HA5" s="23"/>
    </row>
    <row r="6" spans="1:214" s="12" customFormat="1" ht="24" customHeight="1">
      <c r="A6" s="61" t="s">
        <v>149</v>
      </c>
      <c r="B6" s="90" t="s">
        <v>76</v>
      </c>
      <c r="C6" s="156" t="s">
        <v>295</v>
      </c>
      <c r="D6" s="90" t="s">
        <v>72</v>
      </c>
      <c r="E6" s="157" t="s">
        <v>295</v>
      </c>
      <c r="F6" s="22"/>
      <c r="G6" s="22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  <c r="CK6" s="23"/>
      <c r="CL6" s="23"/>
      <c r="CM6" s="23"/>
      <c r="CN6" s="23"/>
      <c r="CO6" s="23"/>
      <c r="CP6" s="23"/>
      <c r="CQ6" s="23"/>
      <c r="CR6" s="23"/>
      <c r="CS6" s="23"/>
      <c r="CT6" s="23"/>
      <c r="CU6" s="23"/>
      <c r="CV6" s="23"/>
      <c r="CW6" s="23"/>
      <c r="CX6" s="23"/>
      <c r="CY6" s="23"/>
      <c r="CZ6" s="23"/>
      <c r="DA6" s="23"/>
      <c r="DB6" s="23"/>
      <c r="DC6" s="23"/>
      <c r="DD6" s="23"/>
      <c r="DE6" s="23"/>
      <c r="DF6" s="23"/>
      <c r="DG6" s="23"/>
      <c r="DH6" s="23"/>
      <c r="DI6" s="23"/>
      <c r="DJ6" s="23"/>
      <c r="DK6" s="23"/>
      <c r="DL6" s="23"/>
      <c r="DM6" s="23"/>
      <c r="DN6" s="23"/>
      <c r="DO6" s="23"/>
      <c r="DP6" s="23"/>
      <c r="DQ6" s="23"/>
      <c r="DR6" s="23"/>
      <c r="DS6" s="23"/>
      <c r="DT6" s="23"/>
      <c r="DU6" s="23"/>
      <c r="DV6" s="23"/>
      <c r="DW6" s="23"/>
      <c r="DX6" s="23"/>
      <c r="DY6" s="23"/>
      <c r="DZ6" s="23"/>
      <c r="EA6" s="23"/>
      <c r="EB6" s="23"/>
      <c r="EC6" s="23"/>
      <c r="ED6" s="23"/>
      <c r="EE6" s="23"/>
      <c r="EF6" s="23"/>
      <c r="EG6" s="23"/>
      <c r="EH6" s="23"/>
      <c r="EI6" s="23"/>
      <c r="EJ6" s="23"/>
      <c r="EK6" s="23"/>
      <c r="EL6" s="23"/>
      <c r="EM6" s="23"/>
      <c r="EN6" s="23"/>
      <c r="EO6" s="23"/>
      <c r="EP6" s="23"/>
      <c r="EQ6" s="23"/>
      <c r="ER6" s="23"/>
      <c r="ES6" s="23"/>
      <c r="ET6" s="23"/>
      <c r="EU6" s="23"/>
      <c r="EV6" s="23"/>
      <c r="EW6" s="23"/>
      <c r="EX6" s="23"/>
      <c r="EY6" s="23"/>
      <c r="EZ6" s="23"/>
      <c r="FA6" s="23"/>
      <c r="FB6" s="23"/>
      <c r="FC6" s="23"/>
      <c r="FD6" s="23"/>
      <c r="FE6" s="23"/>
      <c r="FF6" s="23"/>
      <c r="FG6" s="23"/>
      <c r="FH6" s="23"/>
      <c r="FI6" s="23"/>
      <c r="FJ6" s="23"/>
      <c r="FK6" s="23"/>
      <c r="FL6" s="23"/>
      <c r="FM6" s="23"/>
      <c r="FN6" s="23"/>
      <c r="FO6" s="23"/>
      <c r="FP6" s="23"/>
      <c r="FQ6" s="23"/>
      <c r="FR6" s="23"/>
      <c r="FS6" s="23"/>
      <c r="FT6" s="23"/>
      <c r="FU6" s="23"/>
      <c r="FV6" s="23"/>
      <c r="FW6" s="23"/>
      <c r="FX6" s="23"/>
      <c r="FY6" s="23"/>
      <c r="FZ6" s="23"/>
      <c r="GA6" s="23"/>
      <c r="GB6" s="23"/>
      <c r="GC6" s="23"/>
      <c r="GD6" s="23"/>
      <c r="GE6" s="23"/>
      <c r="GF6" s="23"/>
      <c r="GG6" s="23"/>
      <c r="GH6" s="23"/>
      <c r="GI6" s="23"/>
      <c r="GJ6" s="23"/>
      <c r="GK6" s="23"/>
      <c r="GL6" s="23"/>
      <c r="GM6" s="23"/>
      <c r="GN6" s="23"/>
      <c r="GO6" s="23"/>
      <c r="GP6" s="23"/>
      <c r="GQ6" s="23"/>
      <c r="GR6" s="23"/>
      <c r="GS6" s="23"/>
      <c r="GT6" s="23"/>
      <c r="GU6" s="23"/>
      <c r="GV6" s="23"/>
      <c r="GW6" s="23"/>
      <c r="GX6" s="23"/>
      <c r="GY6" s="23"/>
      <c r="GZ6" s="23"/>
      <c r="HA6" s="23"/>
    </row>
    <row r="7" spans="1:214" s="12" customFormat="1" ht="24" customHeight="1">
      <c r="A7" s="61" t="s">
        <v>77</v>
      </c>
      <c r="B7" s="90" t="s">
        <v>76</v>
      </c>
      <c r="C7" s="91">
        <v>60</v>
      </c>
      <c r="D7" s="90" t="s">
        <v>72</v>
      </c>
      <c r="E7" s="66">
        <v>60</v>
      </c>
      <c r="F7" s="22"/>
      <c r="G7" s="22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3"/>
      <c r="EY7" s="23"/>
      <c r="EZ7" s="23"/>
      <c r="FA7" s="23"/>
      <c r="FB7" s="23"/>
      <c r="FC7" s="23"/>
      <c r="FD7" s="23"/>
      <c r="FE7" s="23"/>
      <c r="FF7" s="23"/>
      <c r="FG7" s="23"/>
      <c r="FH7" s="23"/>
      <c r="FI7" s="23"/>
      <c r="FJ7" s="23"/>
      <c r="FK7" s="23"/>
      <c r="FL7" s="23"/>
      <c r="FM7" s="23"/>
      <c r="FN7" s="23"/>
      <c r="FO7" s="23"/>
      <c r="FP7" s="23"/>
      <c r="FQ7" s="23"/>
      <c r="FR7" s="23"/>
      <c r="FS7" s="23"/>
      <c r="FT7" s="23"/>
      <c r="FU7" s="23"/>
      <c r="FV7" s="23"/>
      <c r="FW7" s="23"/>
      <c r="FX7" s="23"/>
      <c r="FY7" s="23"/>
      <c r="FZ7" s="23"/>
      <c r="GA7" s="23"/>
      <c r="GB7" s="23"/>
      <c r="GC7" s="23"/>
      <c r="GD7" s="23"/>
      <c r="GE7" s="23"/>
      <c r="GF7" s="23"/>
      <c r="GG7" s="23"/>
      <c r="GH7" s="23"/>
      <c r="GI7" s="23"/>
      <c r="GJ7" s="23"/>
      <c r="GK7" s="23"/>
      <c r="GL7" s="23"/>
      <c r="GM7" s="23"/>
      <c r="GN7" s="23"/>
      <c r="GO7" s="23"/>
      <c r="GP7" s="23"/>
      <c r="GQ7" s="23"/>
      <c r="GR7" s="23"/>
      <c r="GS7" s="23"/>
      <c r="GT7" s="23"/>
      <c r="GU7" s="23"/>
      <c r="GV7" s="23"/>
      <c r="GW7" s="23"/>
      <c r="GX7" s="23"/>
      <c r="GY7" s="23"/>
      <c r="GZ7" s="23"/>
      <c r="HA7" s="23"/>
      <c r="HB7" s="23"/>
      <c r="HC7" s="23"/>
      <c r="HD7" s="23"/>
      <c r="HE7" s="23"/>
      <c r="HF7" s="23"/>
    </row>
    <row r="8" spans="1:214" s="12" customFormat="1" ht="24" customHeight="1">
      <c r="A8" s="61" t="s">
        <v>150</v>
      </c>
      <c r="B8" s="90" t="s">
        <v>76</v>
      </c>
      <c r="C8" s="156" t="s">
        <v>295</v>
      </c>
      <c r="D8" s="90" t="s">
        <v>72</v>
      </c>
      <c r="E8" s="157" t="s">
        <v>295</v>
      </c>
      <c r="F8" s="22"/>
      <c r="G8" s="22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  <c r="CK8" s="23"/>
      <c r="CL8" s="23"/>
      <c r="CM8" s="23"/>
      <c r="CN8" s="23"/>
      <c r="CO8" s="23"/>
      <c r="CP8" s="23"/>
      <c r="CQ8" s="23"/>
      <c r="CR8" s="23"/>
      <c r="CS8" s="23"/>
      <c r="CT8" s="23"/>
      <c r="CU8" s="23"/>
      <c r="CV8" s="23"/>
      <c r="CW8" s="23"/>
      <c r="CX8" s="23"/>
      <c r="CY8" s="23"/>
      <c r="CZ8" s="23"/>
      <c r="DA8" s="23"/>
      <c r="DB8" s="23"/>
      <c r="DC8" s="23"/>
      <c r="DD8" s="23"/>
      <c r="DE8" s="23"/>
      <c r="DF8" s="23"/>
      <c r="DG8" s="23"/>
      <c r="DH8" s="23"/>
      <c r="DI8" s="23"/>
      <c r="DJ8" s="23"/>
      <c r="DK8" s="23"/>
      <c r="DL8" s="23"/>
      <c r="DM8" s="23"/>
      <c r="DN8" s="23"/>
      <c r="DO8" s="23"/>
      <c r="DP8" s="23"/>
      <c r="DQ8" s="23"/>
      <c r="DR8" s="23"/>
      <c r="DS8" s="23"/>
      <c r="DT8" s="23"/>
      <c r="DU8" s="23"/>
      <c r="DV8" s="23"/>
      <c r="DW8" s="23"/>
      <c r="DX8" s="23"/>
      <c r="DY8" s="23"/>
      <c r="DZ8" s="23"/>
      <c r="EA8" s="23"/>
      <c r="EB8" s="23"/>
      <c r="EC8" s="23"/>
      <c r="ED8" s="23"/>
      <c r="EE8" s="23"/>
      <c r="EF8" s="23"/>
      <c r="EG8" s="23"/>
      <c r="EH8" s="23"/>
      <c r="EI8" s="23"/>
      <c r="EJ8" s="23"/>
      <c r="EK8" s="23"/>
      <c r="EL8" s="23"/>
      <c r="EM8" s="23"/>
      <c r="EN8" s="23"/>
      <c r="EO8" s="23"/>
      <c r="EP8" s="23"/>
      <c r="EQ8" s="23"/>
      <c r="ER8" s="23"/>
      <c r="ES8" s="23"/>
      <c r="ET8" s="23"/>
      <c r="EU8" s="23"/>
      <c r="EV8" s="23"/>
      <c r="EW8" s="23"/>
      <c r="EX8" s="23"/>
      <c r="EY8" s="23"/>
      <c r="EZ8" s="23"/>
      <c r="FA8" s="23"/>
      <c r="FB8" s="23"/>
      <c r="FC8" s="23"/>
      <c r="FD8" s="23"/>
      <c r="FE8" s="23"/>
      <c r="FF8" s="23"/>
      <c r="FG8" s="23"/>
      <c r="FH8" s="23"/>
      <c r="FI8" s="23"/>
      <c r="FJ8" s="23"/>
      <c r="FK8" s="23"/>
      <c r="FL8" s="23"/>
      <c r="FM8" s="23"/>
      <c r="FN8" s="23"/>
      <c r="FO8" s="23"/>
      <c r="FP8" s="23"/>
      <c r="FQ8" s="23"/>
      <c r="FR8" s="23"/>
      <c r="FS8" s="23"/>
      <c r="FT8" s="23"/>
      <c r="FU8" s="23"/>
      <c r="FV8" s="23"/>
      <c r="FW8" s="23"/>
      <c r="FX8" s="23"/>
      <c r="FY8" s="23"/>
      <c r="FZ8" s="23"/>
      <c r="GA8" s="23"/>
      <c r="GB8" s="23"/>
      <c r="GC8" s="23"/>
      <c r="GD8" s="23"/>
      <c r="GE8" s="23"/>
      <c r="GF8" s="23"/>
      <c r="GG8" s="23"/>
      <c r="GH8" s="23"/>
      <c r="GI8" s="23"/>
      <c r="GJ8" s="23"/>
      <c r="GK8" s="23"/>
      <c r="GL8" s="23"/>
      <c r="GM8" s="23"/>
      <c r="GN8" s="23"/>
      <c r="GO8" s="23"/>
      <c r="GP8" s="23"/>
      <c r="GQ8" s="23"/>
      <c r="GR8" s="23"/>
      <c r="GS8" s="23"/>
      <c r="GT8" s="23"/>
      <c r="GU8" s="23"/>
      <c r="GV8" s="23"/>
      <c r="GW8" s="23"/>
      <c r="GX8" s="23"/>
      <c r="GY8" s="23"/>
      <c r="GZ8" s="23"/>
      <c r="HA8" s="23"/>
      <c r="HB8" s="23"/>
      <c r="HC8" s="23"/>
      <c r="HD8" s="23"/>
      <c r="HE8" s="23"/>
      <c r="HF8" s="23"/>
    </row>
    <row r="9" spans="1:214" s="12" customFormat="1" ht="24" customHeight="1">
      <c r="A9" s="61" t="s">
        <v>78</v>
      </c>
      <c r="B9" s="90" t="s">
        <v>76</v>
      </c>
      <c r="C9" s="91">
        <v>21840</v>
      </c>
      <c r="D9" s="90" t="s">
        <v>72</v>
      </c>
      <c r="E9" s="66">
        <v>20780</v>
      </c>
      <c r="F9" s="22"/>
      <c r="G9" s="22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158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3"/>
      <c r="DA9" s="23"/>
      <c r="DB9" s="23"/>
      <c r="DC9" s="23"/>
      <c r="DD9" s="23"/>
      <c r="DE9" s="23"/>
      <c r="DF9" s="23"/>
      <c r="DG9" s="23"/>
      <c r="DH9" s="23"/>
      <c r="DI9" s="23"/>
      <c r="DJ9" s="23"/>
      <c r="DK9" s="23"/>
      <c r="DL9" s="23"/>
      <c r="DM9" s="23"/>
      <c r="DN9" s="23"/>
      <c r="DO9" s="23"/>
      <c r="DP9" s="23"/>
      <c r="DQ9" s="23"/>
      <c r="DR9" s="23"/>
      <c r="DS9" s="23"/>
      <c r="DT9" s="23"/>
      <c r="DU9" s="23"/>
      <c r="DV9" s="23"/>
      <c r="DW9" s="23"/>
      <c r="DX9" s="23"/>
      <c r="DY9" s="23"/>
      <c r="DZ9" s="23"/>
      <c r="EA9" s="23"/>
      <c r="EB9" s="23"/>
      <c r="EC9" s="23"/>
      <c r="ED9" s="23"/>
      <c r="EE9" s="23"/>
      <c r="EF9" s="23"/>
      <c r="EG9" s="23"/>
      <c r="EH9" s="23"/>
      <c r="EI9" s="23"/>
      <c r="EJ9" s="23"/>
      <c r="EK9" s="23"/>
      <c r="EL9" s="23"/>
      <c r="EM9" s="23"/>
      <c r="EN9" s="23"/>
      <c r="EO9" s="23"/>
      <c r="EP9" s="23"/>
      <c r="EQ9" s="23"/>
      <c r="ER9" s="23"/>
      <c r="ES9" s="23"/>
      <c r="ET9" s="23"/>
      <c r="EU9" s="23"/>
      <c r="EV9" s="23"/>
      <c r="EW9" s="23"/>
      <c r="EX9" s="23"/>
      <c r="EY9" s="23"/>
      <c r="EZ9" s="23"/>
      <c r="FA9" s="23"/>
      <c r="FB9" s="23"/>
      <c r="FC9" s="23"/>
      <c r="FD9" s="23"/>
      <c r="FE9" s="23"/>
      <c r="FF9" s="23"/>
      <c r="FG9" s="23"/>
      <c r="FH9" s="23"/>
      <c r="FI9" s="23"/>
      <c r="FJ9" s="23"/>
      <c r="FK9" s="23"/>
      <c r="FL9" s="23"/>
      <c r="FM9" s="23"/>
      <c r="FN9" s="23"/>
      <c r="FO9" s="23"/>
      <c r="FP9" s="23"/>
      <c r="FQ9" s="23"/>
      <c r="FR9" s="23"/>
      <c r="FS9" s="23"/>
      <c r="FT9" s="23"/>
      <c r="FU9" s="23"/>
      <c r="FV9" s="23"/>
      <c r="FW9" s="23"/>
      <c r="FX9" s="23"/>
      <c r="FY9" s="23"/>
      <c r="FZ9" s="23"/>
      <c r="GA9" s="23"/>
      <c r="GB9" s="23"/>
      <c r="GC9" s="23"/>
      <c r="GD9" s="23"/>
      <c r="GE9" s="23"/>
      <c r="GF9" s="23"/>
      <c r="GG9" s="23"/>
      <c r="GH9" s="23"/>
      <c r="GI9" s="23"/>
      <c r="GJ9" s="23"/>
      <c r="GK9" s="23"/>
      <c r="GL9" s="23"/>
      <c r="GM9" s="23"/>
      <c r="GN9" s="23"/>
      <c r="GO9" s="23"/>
      <c r="GP9" s="23"/>
      <c r="GQ9" s="23"/>
      <c r="GR9" s="23"/>
      <c r="GS9" s="23"/>
      <c r="GT9" s="23"/>
      <c r="GU9" s="23"/>
      <c r="GV9" s="23"/>
      <c r="GW9" s="23"/>
      <c r="GX9" s="23"/>
      <c r="GY9" s="23"/>
      <c r="GZ9" s="23"/>
      <c r="HA9" s="23"/>
    </row>
    <row r="10" spans="1:214" s="12" customFormat="1" ht="24" customHeight="1">
      <c r="A10" s="92" t="s">
        <v>79</v>
      </c>
      <c r="B10" s="348" t="s">
        <v>72</v>
      </c>
      <c r="C10" s="349"/>
      <c r="D10" s="349"/>
      <c r="E10" s="350"/>
      <c r="F10" s="22"/>
      <c r="G10" s="22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  <c r="BT10" s="23"/>
      <c r="BU10" s="23"/>
      <c r="BV10" s="23"/>
      <c r="BW10" s="23"/>
      <c r="BX10" s="23"/>
      <c r="BY10" s="23"/>
      <c r="BZ10" s="23"/>
      <c r="CA10" s="23"/>
      <c r="CB10" s="23"/>
      <c r="CC10" s="23"/>
      <c r="CD10" s="23"/>
      <c r="CE10" s="23"/>
      <c r="CF10" s="23"/>
      <c r="CG10" s="23"/>
      <c r="CH10" s="23"/>
      <c r="CI10" s="23"/>
      <c r="CJ10" s="23"/>
      <c r="CK10" s="23"/>
      <c r="CL10" s="23"/>
      <c r="CM10" s="23"/>
      <c r="CN10" s="23"/>
      <c r="CO10" s="23"/>
      <c r="CP10" s="23"/>
      <c r="CQ10" s="23"/>
      <c r="CR10" s="23"/>
      <c r="CS10" s="23"/>
      <c r="CT10" s="23"/>
      <c r="CU10" s="23"/>
      <c r="CV10" s="23"/>
      <c r="CW10" s="23"/>
      <c r="CX10" s="23"/>
      <c r="CY10" s="23"/>
      <c r="CZ10" s="23"/>
      <c r="DA10" s="23"/>
      <c r="DB10" s="23"/>
      <c r="DC10" s="23"/>
      <c r="DD10" s="23"/>
      <c r="DE10" s="23"/>
      <c r="DF10" s="23"/>
      <c r="DG10" s="23"/>
      <c r="DH10" s="23"/>
      <c r="DI10" s="23"/>
      <c r="DJ10" s="23"/>
      <c r="DK10" s="23"/>
      <c r="DL10" s="23"/>
      <c r="DM10" s="23"/>
      <c r="DN10" s="23"/>
      <c r="DO10" s="23"/>
      <c r="DP10" s="23"/>
      <c r="DQ10" s="23"/>
      <c r="DR10" s="23"/>
      <c r="DS10" s="23"/>
      <c r="DT10" s="23"/>
      <c r="DU10" s="23"/>
      <c r="DV10" s="23"/>
      <c r="DW10" s="23"/>
      <c r="DX10" s="23"/>
      <c r="DY10" s="23"/>
      <c r="DZ10" s="23"/>
      <c r="EA10" s="23"/>
      <c r="EB10" s="23"/>
      <c r="EC10" s="23"/>
      <c r="ED10" s="23"/>
      <c r="EE10" s="23"/>
      <c r="EF10" s="23"/>
      <c r="EG10" s="23"/>
      <c r="EH10" s="23"/>
      <c r="EI10" s="23"/>
      <c r="EJ10" s="23"/>
      <c r="EK10" s="23"/>
      <c r="EL10" s="23"/>
      <c r="EM10" s="23"/>
      <c r="EN10" s="23"/>
      <c r="EO10" s="23"/>
      <c r="EP10" s="23"/>
      <c r="EQ10" s="23"/>
      <c r="ER10" s="23"/>
      <c r="ES10" s="23"/>
      <c r="ET10" s="23"/>
      <c r="EU10" s="23"/>
      <c r="EV10" s="23"/>
      <c r="EW10" s="23"/>
      <c r="EX10" s="23"/>
      <c r="EY10" s="23"/>
      <c r="EZ10" s="23"/>
      <c r="FA10" s="23"/>
      <c r="FB10" s="23"/>
      <c r="FC10" s="23"/>
      <c r="FD10" s="23"/>
      <c r="FE10" s="23"/>
      <c r="FF10" s="23"/>
      <c r="FG10" s="23"/>
      <c r="FH10" s="23"/>
      <c r="FI10" s="23"/>
      <c r="FJ10" s="23"/>
      <c r="FK10" s="23"/>
      <c r="FL10" s="23"/>
      <c r="FM10" s="23"/>
      <c r="FN10" s="23"/>
      <c r="FO10" s="23"/>
      <c r="FP10" s="23"/>
      <c r="FQ10" s="23"/>
      <c r="FR10" s="23"/>
      <c r="FS10" s="23"/>
      <c r="FT10" s="23"/>
      <c r="FU10" s="23"/>
      <c r="FV10" s="23"/>
      <c r="FW10" s="23"/>
      <c r="FX10" s="23"/>
      <c r="FY10" s="23"/>
      <c r="FZ10" s="23"/>
      <c r="GA10" s="23"/>
      <c r="GB10" s="23"/>
      <c r="GC10" s="23"/>
      <c r="GD10" s="23"/>
      <c r="GE10" s="23"/>
      <c r="GF10" s="23"/>
      <c r="GG10" s="23"/>
      <c r="GH10" s="23"/>
      <c r="GI10" s="23"/>
      <c r="GJ10" s="23"/>
      <c r="GK10" s="23"/>
      <c r="GL10" s="23"/>
      <c r="GM10" s="23"/>
      <c r="GN10" s="23"/>
      <c r="GO10" s="23"/>
      <c r="GP10" s="23"/>
      <c r="GQ10" s="23"/>
      <c r="GR10" s="23"/>
      <c r="GS10" s="23"/>
      <c r="GT10" s="23"/>
      <c r="GU10" s="23"/>
      <c r="GV10" s="23"/>
      <c r="GW10" s="23"/>
      <c r="GX10" s="23"/>
      <c r="GY10" s="23"/>
      <c r="GZ10" s="23"/>
      <c r="HA10" s="23"/>
      <c r="HB10" s="23"/>
      <c r="HC10" s="23"/>
      <c r="HD10" s="23"/>
      <c r="HE10" s="23"/>
      <c r="HF10" s="23"/>
    </row>
    <row r="11" spans="1:214" s="12" customFormat="1" ht="24" customHeight="1">
      <c r="A11" s="61" t="s">
        <v>28</v>
      </c>
      <c r="B11" s="348" t="s">
        <v>80</v>
      </c>
      <c r="C11" s="349"/>
      <c r="D11" s="349"/>
      <c r="E11" s="350"/>
      <c r="F11" s="22"/>
      <c r="G11" s="22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  <c r="BT11" s="23"/>
      <c r="BU11" s="23"/>
      <c r="BV11" s="23"/>
      <c r="BW11" s="23"/>
      <c r="BX11" s="23"/>
      <c r="BY11" s="23"/>
      <c r="BZ11" s="23"/>
      <c r="CA11" s="23"/>
      <c r="CB11" s="23"/>
      <c r="CC11" s="23"/>
      <c r="CD11" s="23"/>
      <c r="CE11" s="23"/>
      <c r="CF11" s="23"/>
      <c r="CG11" s="23"/>
      <c r="CH11" s="23"/>
      <c r="CI11" s="23"/>
      <c r="CJ11" s="23"/>
      <c r="CK11" s="23"/>
      <c r="CL11" s="23"/>
      <c r="CM11" s="23"/>
      <c r="CN11" s="23"/>
      <c r="CO11" s="23"/>
      <c r="CP11" s="23"/>
      <c r="CQ11" s="23"/>
      <c r="CR11" s="23"/>
      <c r="CS11" s="23"/>
      <c r="CT11" s="23"/>
      <c r="CU11" s="23"/>
      <c r="CV11" s="23"/>
      <c r="CW11" s="23"/>
      <c r="CX11" s="23"/>
      <c r="CY11" s="23"/>
      <c r="CZ11" s="23"/>
      <c r="DA11" s="23"/>
      <c r="DB11" s="23"/>
      <c r="DC11" s="23"/>
      <c r="DD11" s="23"/>
      <c r="DE11" s="23"/>
      <c r="DF11" s="23"/>
      <c r="DG11" s="23"/>
      <c r="DH11" s="23"/>
      <c r="DI11" s="23"/>
      <c r="DJ11" s="23"/>
      <c r="DK11" s="23"/>
      <c r="DL11" s="23"/>
      <c r="DM11" s="23"/>
      <c r="DN11" s="23"/>
      <c r="DO11" s="23"/>
      <c r="DP11" s="23"/>
      <c r="DQ11" s="23"/>
      <c r="DR11" s="23"/>
      <c r="DS11" s="23"/>
      <c r="DT11" s="23"/>
      <c r="DU11" s="23"/>
      <c r="DV11" s="23"/>
      <c r="DW11" s="23"/>
      <c r="DX11" s="23"/>
      <c r="DY11" s="23"/>
      <c r="DZ11" s="23"/>
      <c r="EA11" s="23"/>
      <c r="EB11" s="23"/>
      <c r="EC11" s="23"/>
      <c r="ED11" s="23"/>
      <c r="EE11" s="23"/>
      <c r="EF11" s="23"/>
      <c r="EG11" s="23"/>
      <c r="EH11" s="23"/>
      <c r="EI11" s="23"/>
      <c r="EJ11" s="23"/>
      <c r="EK11" s="23"/>
      <c r="EL11" s="23"/>
      <c r="EM11" s="23"/>
      <c r="EN11" s="23"/>
      <c r="EO11" s="23"/>
      <c r="EP11" s="23"/>
      <c r="EQ11" s="23"/>
      <c r="ER11" s="23"/>
      <c r="ES11" s="23"/>
      <c r="ET11" s="23"/>
      <c r="EU11" s="23"/>
      <c r="EV11" s="23"/>
      <c r="EW11" s="23"/>
      <c r="EX11" s="23"/>
      <c r="EY11" s="23"/>
      <c r="EZ11" s="23"/>
      <c r="FA11" s="23"/>
      <c r="FB11" s="23"/>
      <c r="FC11" s="23"/>
      <c r="FD11" s="23"/>
      <c r="FE11" s="23"/>
      <c r="FF11" s="23"/>
      <c r="FG11" s="23"/>
      <c r="FH11" s="23"/>
      <c r="FI11" s="23"/>
      <c r="FJ11" s="23"/>
      <c r="FK11" s="23"/>
      <c r="FL11" s="23"/>
      <c r="FM11" s="23"/>
      <c r="FN11" s="23"/>
      <c r="FO11" s="23"/>
      <c r="FP11" s="23"/>
      <c r="FQ11" s="23"/>
      <c r="FR11" s="23"/>
      <c r="FS11" s="23"/>
      <c r="FT11" s="23"/>
      <c r="FU11" s="23"/>
      <c r="FV11" s="23"/>
      <c r="FW11" s="23"/>
      <c r="FX11" s="23"/>
      <c r="FY11" s="23"/>
      <c r="FZ11" s="23"/>
      <c r="GA11" s="23"/>
      <c r="GB11" s="23"/>
      <c r="GC11" s="23"/>
      <c r="GD11" s="23"/>
      <c r="GE11" s="23"/>
      <c r="GF11" s="23"/>
      <c r="GG11" s="23"/>
      <c r="GH11" s="23"/>
      <c r="GI11" s="23"/>
      <c r="GJ11" s="23"/>
      <c r="GK11" s="23"/>
      <c r="GL11" s="23"/>
      <c r="GM11" s="23"/>
      <c r="GN11" s="23"/>
      <c r="GO11" s="23"/>
      <c r="GP11" s="23"/>
      <c r="GQ11" s="23"/>
      <c r="GR11" s="23"/>
      <c r="GS11" s="23"/>
      <c r="GT11" s="23"/>
      <c r="GU11" s="23"/>
      <c r="GV11" s="23"/>
      <c r="GW11" s="23"/>
      <c r="GX11" s="23"/>
      <c r="GY11" s="23"/>
      <c r="GZ11" s="23"/>
      <c r="HA11" s="23"/>
      <c r="HB11" s="23"/>
      <c r="HC11" s="23"/>
      <c r="HD11" s="23"/>
      <c r="HE11" s="23"/>
      <c r="HF11" s="23"/>
    </row>
    <row r="12" spans="1:214" s="12" customFormat="1" ht="24" customHeight="1" thickBot="1">
      <c r="A12" s="62" t="s">
        <v>81</v>
      </c>
      <c r="B12" s="65" t="s">
        <v>82</v>
      </c>
      <c r="C12" s="64">
        <v>2</v>
      </c>
      <c r="D12" s="65" t="s">
        <v>83</v>
      </c>
      <c r="E12" s="67">
        <v>2</v>
      </c>
      <c r="F12" s="22"/>
      <c r="G12" s="22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3"/>
      <c r="BK12" s="23"/>
      <c r="BL12" s="23"/>
      <c r="BM12" s="23"/>
      <c r="BN12" s="23"/>
      <c r="BO12" s="23"/>
      <c r="BP12" s="23"/>
      <c r="BQ12" s="23"/>
      <c r="BR12" s="23"/>
      <c r="BS12" s="23"/>
      <c r="BT12" s="23"/>
      <c r="BU12" s="23"/>
      <c r="BV12" s="23"/>
      <c r="BW12" s="23"/>
      <c r="BX12" s="23"/>
      <c r="BY12" s="23"/>
      <c r="BZ12" s="23"/>
      <c r="CA12" s="23"/>
      <c r="CB12" s="23"/>
      <c r="CC12" s="23"/>
      <c r="CD12" s="23"/>
      <c r="CE12" s="23"/>
      <c r="CF12" s="23"/>
      <c r="CG12" s="23"/>
      <c r="CH12" s="23"/>
      <c r="CI12" s="23"/>
      <c r="CJ12" s="23"/>
      <c r="CK12" s="23"/>
      <c r="CL12" s="23"/>
      <c r="CM12" s="23"/>
      <c r="CN12" s="23"/>
      <c r="CO12" s="23"/>
      <c r="CP12" s="23"/>
      <c r="CQ12" s="23"/>
      <c r="CR12" s="23"/>
      <c r="CS12" s="23"/>
      <c r="CT12" s="23"/>
      <c r="CU12" s="23"/>
      <c r="CV12" s="23"/>
      <c r="CW12" s="23"/>
      <c r="CX12" s="23"/>
      <c r="CY12" s="23"/>
      <c r="CZ12" s="23"/>
      <c r="DA12" s="23"/>
      <c r="DB12" s="23"/>
      <c r="DC12" s="23"/>
      <c r="DD12" s="23"/>
      <c r="DE12" s="23"/>
      <c r="DF12" s="23"/>
      <c r="DG12" s="23"/>
      <c r="DH12" s="23"/>
      <c r="DI12" s="23"/>
      <c r="DJ12" s="23"/>
      <c r="DK12" s="23"/>
      <c r="DL12" s="23"/>
      <c r="DM12" s="23"/>
      <c r="DN12" s="23"/>
      <c r="DO12" s="23"/>
      <c r="DP12" s="23"/>
      <c r="DQ12" s="23"/>
      <c r="DR12" s="23"/>
      <c r="DS12" s="23"/>
      <c r="DT12" s="23"/>
      <c r="DU12" s="23"/>
      <c r="DV12" s="23"/>
      <c r="DW12" s="23"/>
      <c r="DX12" s="23"/>
      <c r="DY12" s="23"/>
      <c r="DZ12" s="23"/>
      <c r="EA12" s="23"/>
      <c r="EB12" s="23"/>
      <c r="EC12" s="23"/>
      <c r="ED12" s="23"/>
      <c r="EE12" s="23"/>
      <c r="EF12" s="23"/>
      <c r="EG12" s="23"/>
      <c r="EH12" s="23"/>
      <c r="EI12" s="23"/>
      <c r="EJ12" s="23"/>
      <c r="EK12" s="23"/>
      <c r="EL12" s="23"/>
      <c r="EM12" s="23"/>
      <c r="EN12" s="23"/>
      <c r="EO12" s="23"/>
      <c r="EP12" s="23"/>
      <c r="EQ12" s="23"/>
      <c r="ER12" s="23"/>
      <c r="ES12" s="23"/>
      <c r="ET12" s="23"/>
      <c r="EU12" s="23"/>
      <c r="EV12" s="23"/>
      <c r="EW12" s="23"/>
      <c r="EX12" s="23"/>
      <c r="EY12" s="23"/>
      <c r="EZ12" s="23"/>
      <c r="FA12" s="23"/>
      <c r="FB12" s="23"/>
      <c r="FC12" s="23"/>
      <c r="FD12" s="23"/>
      <c r="FE12" s="23"/>
      <c r="FF12" s="23"/>
      <c r="FG12" s="23"/>
      <c r="FH12" s="23"/>
      <c r="FI12" s="23"/>
      <c r="FJ12" s="23"/>
      <c r="FK12" s="23"/>
      <c r="FL12" s="23"/>
      <c r="FM12" s="23"/>
      <c r="FN12" s="23"/>
      <c r="FO12" s="23"/>
      <c r="FP12" s="23"/>
      <c r="FQ12" s="23"/>
      <c r="FR12" s="23"/>
      <c r="FS12" s="23"/>
      <c r="FT12" s="23"/>
      <c r="FU12" s="23"/>
      <c r="FV12" s="23"/>
      <c r="FW12" s="23"/>
      <c r="FX12" s="23"/>
      <c r="FY12" s="23"/>
      <c r="FZ12" s="23"/>
      <c r="GA12" s="23"/>
      <c r="GB12" s="23"/>
      <c r="GC12" s="23"/>
      <c r="GD12" s="23"/>
      <c r="GE12" s="23"/>
      <c r="GF12" s="23"/>
      <c r="GG12" s="23"/>
      <c r="GH12" s="23"/>
      <c r="GI12" s="23"/>
      <c r="GJ12" s="23"/>
      <c r="GK12" s="23"/>
      <c r="GL12" s="23"/>
      <c r="GM12" s="23"/>
      <c r="GN12" s="23"/>
      <c r="GO12" s="23"/>
      <c r="GP12" s="23"/>
      <c r="GQ12" s="23"/>
      <c r="GR12" s="23"/>
      <c r="GS12" s="23"/>
      <c r="GT12" s="23"/>
      <c r="GU12" s="23"/>
      <c r="GV12" s="23"/>
      <c r="GW12" s="23"/>
      <c r="GX12" s="23"/>
      <c r="GY12" s="23"/>
      <c r="GZ12" s="23"/>
      <c r="HA12" s="23"/>
      <c r="HB12" s="23"/>
      <c r="HC12" s="23"/>
      <c r="HD12" s="23"/>
      <c r="HE12" s="23"/>
      <c r="HF12" s="23"/>
    </row>
    <row r="13" spans="1:214" s="5" customFormat="1" ht="24" customHeight="1" thickBot="1">
      <c r="A13" s="2"/>
      <c r="C13" s="29"/>
      <c r="D13" s="29"/>
      <c r="E13" s="29"/>
      <c r="F13" s="30"/>
      <c r="G13" s="30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/>
      <c r="CK13" s="29"/>
      <c r="CL13" s="29"/>
      <c r="CM13" s="29"/>
      <c r="CN13" s="29"/>
      <c r="CO13" s="29"/>
      <c r="CP13" s="29"/>
      <c r="CQ13" s="29"/>
      <c r="CR13" s="29"/>
      <c r="CS13" s="29"/>
      <c r="CT13" s="29"/>
      <c r="CU13" s="29"/>
      <c r="CV13" s="29"/>
      <c r="CW13" s="29"/>
      <c r="CX13" s="29"/>
      <c r="CY13" s="29"/>
      <c r="CZ13" s="29"/>
      <c r="DA13" s="29"/>
      <c r="DB13" s="29"/>
      <c r="DC13" s="29"/>
      <c r="DD13" s="29"/>
      <c r="DE13" s="29"/>
      <c r="DF13" s="29"/>
      <c r="DG13" s="29"/>
      <c r="DH13" s="29"/>
      <c r="DI13" s="29"/>
      <c r="DJ13" s="29"/>
      <c r="DK13" s="29"/>
      <c r="DL13" s="29"/>
      <c r="DM13" s="29"/>
      <c r="DN13" s="29"/>
      <c r="DO13" s="29"/>
      <c r="DP13" s="29"/>
      <c r="DQ13" s="29"/>
      <c r="DR13" s="29"/>
      <c r="DS13" s="29"/>
      <c r="DT13" s="29"/>
      <c r="DU13" s="29"/>
      <c r="DV13" s="29"/>
      <c r="DW13" s="29"/>
      <c r="DX13" s="29"/>
      <c r="DY13" s="29"/>
      <c r="DZ13" s="29"/>
      <c r="EA13" s="29"/>
      <c r="EB13" s="29"/>
      <c r="EC13" s="29"/>
      <c r="ED13" s="29"/>
      <c r="EE13" s="29"/>
      <c r="EF13" s="29"/>
      <c r="EG13" s="29"/>
      <c r="EH13" s="29"/>
      <c r="EI13" s="29"/>
      <c r="EJ13" s="29"/>
      <c r="EK13" s="29"/>
      <c r="EL13" s="29"/>
      <c r="EM13" s="29"/>
      <c r="EN13" s="29"/>
      <c r="EO13" s="29"/>
      <c r="EP13" s="29"/>
      <c r="EQ13" s="29"/>
      <c r="ER13" s="29"/>
      <c r="ES13" s="29"/>
      <c r="ET13" s="29"/>
      <c r="EU13" s="29"/>
      <c r="EV13" s="29"/>
      <c r="EW13" s="29"/>
      <c r="EX13" s="29"/>
      <c r="EY13" s="29"/>
      <c r="EZ13" s="29"/>
      <c r="FA13" s="29"/>
      <c r="FB13" s="29"/>
      <c r="FC13" s="29"/>
      <c r="FD13" s="29"/>
      <c r="FE13" s="29"/>
      <c r="FF13" s="29"/>
      <c r="FG13" s="29"/>
      <c r="FH13" s="29"/>
      <c r="FI13" s="29"/>
      <c r="FJ13" s="29"/>
      <c r="FK13" s="29"/>
      <c r="FL13" s="29"/>
      <c r="FM13" s="29"/>
      <c r="FN13" s="29"/>
      <c r="FO13" s="29"/>
      <c r="FP13" s="29"/>
      <c r="FQ13" s="29"/>
      <c r="FR13" s="29"/>
      <c r="FS13" s="29"/>
      <c r="FT13" s="29"/>
      <c r="FU13" s="29"/>
      <c r="FV13" s="29"/>
      <c r="FW13" s="29"/>
      <c r="FX13" s="29"/>
      <c r="FY13" s="29"/>
      <c r="FZ13" s="29"/>
      <c r="GA13" s="29"/>
      <c r="GB13" s="29"/>
      <c r="GC13" s="29"/>
      <c r="GD13" s="29"/>
      <c r="GE13" s="29"/>
      <c r="GF13" s="29"/>
      <c r="GG13" s="29"/>
      <c r="GH13" s="29"/>
      <c r="GI13" s="29"/>
      <c r="GJ13" s="29"/>
      <c r="GK13" s="29"/>
      <c r="GL13" s="29"/>
      <c r="GM13" s="29"/>
      <c r="GN13" s="29"/>
      <c r="GO13" s="29"/>
      <c r="GP13" s="29"/>
      <c r="GQ13" s="29"/>
      <c r="GR13" s="29"/>
      <c r="GS13" s="29"/>
      <c r="GT13" s="29"/>
      <c r="GU13" s="29"/>
      <c r="GV13" s="29"/>
      <c r="GW13" s="29"/>
      <c r="GX13" s="29"/>
      <c r="GY13" s="29"/>
      <c r="GZ13" s="29"/>
      <c r="HA13" s="29"/>
      <c r="HB13" s="29"/>
      <c r="HC13" s="29"/>
      <c r="HD13" s="29"/>
      <c r="HE13" s="29"/>
      <c r="HF13" s="29"/>
    </row>
    <row r="14" spans="1:214" s="12" customFormat="1" ht="24" customHeight="1" thickBot="1">
      <c r="A14" s="351" t="s">
        <v>84</v>
      </c>
      <c r="B14" s="352"/>
      <c r="C14" s="352"/>
      <c r="D14" s="352"/>
      <c r="E14" s="353"/>
      <c r="F14" s="22"/>
      <c r="G14" s="22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/>
      <c r="BJ14" s="23"/>
      <c r="BK14" s="23"/>
      <c r="BL14" s="23"/>
      <c r="BM14" s="23"/>
      <c r="BN14" s="23"/>
      <c r="BO14" s="23"/>
      <c r="BP14" s="23"/>
      <c r="BQ14" s="23"/>
      <c r="BR14" s="23"/>
      <c r="BS14" s="23"/>
      <c r="BT14" s="23"/>
      <c r="BU14" s="23"/>
      <c r="BV14" s="23"/>
      <c r="BW14" s="23"/>
      <c r="BX14" s="23"/>
      <c r="BY14" s="23"/>
      <c r="BZ14" s="23"/>
      <c r="CA14" s="23"/>
      <c r="CB14" s="23"/>
      <c r="CC14" s="23"/>
      <c r="CD14" s="23"/>
      <c r="CE14" s="23"/>
      <c r="CF14" s="23"/>
      <c r="CG14" s="23"/>
      <c r="CH14" s="23"/>
      <c r="CI14" s="23"/>
      <c r="CJ14" s="23"/>
      <c r="CK14" s="23"/>
      <c r="CL14" s="23"/>
      <c r="CM14" s="23"/>
      <c r="CN14" s="23"/>
      <c r="CO14" s="23"/>
      <c r="CP14" s="23"/>
      <c r="CQ14" s="23"/>
      <c r="CR14" s="23"/>
      <c r="CS14" s="23"/>
      <c r="CT14" s="23"/>
      <c r="CU14" s="23"/>
      <c r="CV14" s="23"/>
      <c r="CW14" s="23"/>
      <c r="CX14" s="23"/>
      <c r="CY14" s="23"/>
      <c r="CZ14" s="23"/>
      <c r="DA14" s="23"/>
      <c r="DB14" s="23"/>
      <c r="DC14" s="23"/>
      <c r="DD14" s="23"/>
      <c r="DE14" s="23"/>
      <c r="DF14" s="23"/>
      <c r="DG14" s="23"/>
      <c r="DH14" s="23"/>
      <c r="DI14" s="23"/>
      <c r="DJ14" s="23"/>
      <c r="DK14" s="23"/>
      <c r="DL14" s="23"/>
      <c r="DM14" s="23"/>
      <c r="DN14" s="23"/>
      <c r="DO14" s="23"/>
      <c r="DP14" s="23"/>
      <c r="DQ14" s="23"/>
      <c r="DR14" s="23"/>
      <c r="DS14" s="23"/>
      <c r="DT14" s="23"/>
      <c r="DU14" s="23"/>
      <c r="DV14" s="23"/>
      <c r="DW14" s="23"/>
      <c r="DX14" s="23"/>
      <c r="DY14" s="23"/>
      <c r="DZ14" s="23"/>
      <c r="EA14" s="23"/>
      <c r="EB14" s="23"/>
      <c r="EC14" s="23"/>
      <c r="ED14" s="23"/>
      <c r="EE14" s="23"/>
      <c r="EF14" s="23"/>
      <c r="EG14" s="23"/>
      <c r="EH14" s="23"/>
      <c r="EI14" s="23"/>
      <c r="EJ14" s="23"/>
      <c r="EK14" s="23"/>
      <c r="EL14" s="23"/>
      <c r="EM14" s="23"/>
      <c r="EN14" s="23"/>
      <c r="EO14" s="23"/>
      <c r="EP14" s="23"/>
      <c r="EQ14" s="23"/>
      <c r="ER14" s="23"/>
      <c r="ES14" s="23"/>
      <c r="ET14" s="23"/>
      <c r="EU14" s="23"/>
      <c r="EV14" s="23"/>
      <c r="EW14" s="23"/>
      <c r="EX14" s="23"/>
      <c r="EY14" s="23"/>
      <c r="EZ14" s="23"/>
      <c r="FA14" s="23"/>
      <c r="FB14" s="23"/>
      <c r="FC14" s="23"/>
      <c r="FD14" s="23"/>
      <c r="FE14" s="23"/>
      <c r="FF14" s="23"/>
      <c r="FG14" s="23"/>
      <c r="FH14" s="23"/>
      <c r="FI14" s="23"/>
      <c r="FJ14" s="23"/>
      <c r="FK14" s="23"/>
      <c r="FL14" s="23"/>
      <c r="FM14" s="23"/>
      <c r="FN14" s="23"/>
      <c r="FO14" s="23"/>
      <c r="FP14" s="23"/>
      <c r="FQ14" s="23"/>
      <c r="FR14" s="23"/>
      <c r="FS14" s="23"/>
      <c r="FT14" s="23"/>
      <c r="FU14" s="23"/>
      <c r="FV14" s="23"/>
      <c r="FW14" s="23"/>
      <c r="FX14" s="23"/>
      <c r="FY14" s="23"/>
      <c r="FZ14" s="23"/>
      <c r="GA14" s="23"/>
      <c r="GB14" s="23"/>
      <c r="GC14" s="23"/>
      <c r="GD14" s="23"/>
      <c r="GE14" s="23"/>
      <c r="GF14" s="23"/>
      <c r="GG14" s="23"/>
      <c r="GH14" s="23"/>
      <c r="GI14" s="23"/>
      <c r="GJ14" s="23"/>
      <c r="GK14" s="23"/>
      <c r="GL14" s="23"/>
      <c r="GM14" s="23"/>
      <c r="GN14" s="23"/>
      <c r="GO14" s="23"/>
      <c r="GP14" s="23"/>
      <c r="GQ14" s="23"/>
      <c r="GR14" s="23"/>
      <c r="GS14" s="23"/>
      <c r="GT14" s="23"/>
      <c r="GU14" s="23"/>
      <c r="GV14" s="23"/>
      <c r="GW14" s="23"/>
      <c r="GX14" s="23"/>
      <c r="GY14" s="23"/>
      <c r="GZ14" s="23"/>
      <c r="HA14" s="23"/>
      <c r="HB14" s="23"/>
      <c r="HC14" s="23"/>
      <c r="HD14" s="23"/>
      <c r="HE14" s="23"/>
      <c r="HF14" s="23"/>
    </row>
    <row r="15" spans="1:214" s="12" customFormat="1" ht="24" customHeight="1">
      <c r="A15" s="81"/>
      <c r="B15" s="354" t="s">
        <v>85</v>
      </c>
      <c r="C15" s="354"/>
      <c r="D15" s="354"/>
      <c r="E15" s="355"/>
      <c r="F15" s="22"/>
      <c r="G15" s="22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/>
      <c r="BJ15" s="23"/>
      <c r="BK15" s="23"/>
      <c r="BL15" s="23"/>
      <c r="BM15" s="23"/>
      <c r="BN15" s="23"/>
      <c r="BO15" s="23"/>
      <c r="BP15" s="23"/>
      <c r="BQ15" s="23"/>
      <c r="BR15" s="23"/>
      <c r="BS15" s="23"/>
      <c r="BT15" s="23"/>
      <c r="BU15" s="23"/>
      <c r="BV15" s="23"/>
      <c r="BW15" s="23"/>
      <c r="BX15" s="23"/>
      <c r="BY15" s="23"/>
      <c r="BZ15" s="23"/>
      <c r="CA15" s="23"/>
      <c r="CB15" s="23"/>
      <c r="CC15" s="23"/>
      <c r="CD15" s="23"/>
      <c r="CE15" s="23"/>
      <c r="CF15" s="23"/>
      <c r="CG15" s="23"/>
      <c r="CH15" s="23"/>
      <c r="CI15" s="23"/>
      <c r="CJ15" s="23"/>
      <c r="CK15" s="23"/>
      <c r="CL15" s="23"/>
      <c r="CM15" s="23"/>
      <c r="CN15" s="23"/>
      <c r="CO15" s="23"/>
      <c r="CP15" s="23"/>
      <c r="CQ15" s="23"/>
      <c r="CR15" s="23"/>
      <c r="CS15" s="23"/>
      <c r="CT15" s="23"/>
      <c r="CU15" s="23"/>
      <c r="CV15" s="23"/>
      <c r="CW15" s="23"/>
      <c r="CX15" s="23"/>
      <c r="CY15" s="23"/>
      <c r="CZ15" s="23"/>
      <c r="DA15" s="23"/>
      <c r="DB15" s="23"/>
      <c r="DC15" s="23"/>
      <c r="DD15" s="23"/>
      <c r="DE15" s="23"/>
      <c r="DF15" s="23"/>
      <c r="DG15" s="23"/>
      <c r="DH15" s="23"/>
      <c r="DI15" s="23"/>
      <c r="DJ15" s="23"/>
      <c r="DK15" s="23"/>
      <c r="DL15" s="23"/>
      <c r="DM15" s="23"/>
      <c r="DN15" s="23"/>
      <c r="DO15" s="23"/>
      <c r="DP15" s="23"/>
      <c r="DQ15" s="23"/>
      <c r="DR15" s="23"/>
      <c r="DS15" s="23"/>
      <c r="DT15" s="23"/>
      <c r="DU15" s="23"/>
      <c r="DV15" s="23"/>
      <c r="DW15" s="23"/>
      <c r="DX15" s="23"/>
      <c r="DY15" s="23"/>
      <c r="DZ15" s="23"/>
      <c r="EA15" s="23"/>
      <c r="EB15" s="23"/>
      <c r="EC15" s="23"/>
      <c r="ED15" s="23"/>
      <c r="EE15" s="23"/>
      <c r="EF15" s="23"/>
      <c r="EG15" s="23"/>
      <c r="EH15" s="23"/>
      <c r="EI15" s="23"/>
      <c r="EJ15" s="23"/>
      <c r="EK15" s="23"/>
      <c r="EL15" s="23"/>
      <c r="EM15" s="23"/>
      <c r="EN15" s="23"/>
      <c r="EO15" s="23"/>
      <c r="EP15" s="23"/>
      <c r="EQ15" s="23"/>
      <c r="ER15" s="23"/>
      <c r="ES15" s="23"/>
      <c r="ET15" s="23"/>
      <c r="EU15" s="23"/>
      <c r="EV15" s="23"/>
      <c r="EW15" s="23"/>
      <c r="EX15" s="23"/>
      <c r="EY15" s="23"/>
      <c r="EZ15" s="23"/>
      <c r="FA15" s="23"/>
      <c r="FB15" s="23"/>
      <c r="FC15" s="23"/>
      <c r="FD15" s="23"/>
      <c r="FE15" s="23"/>
      <c r="FF15" s="23"/>
      <c r="FG15" s="23"/>
      <c r="FH15" s="23"/>
      <c r="FI15" s="23"/>
      <c r="FJ15" s="23"/>
      <c r="FK15" s="23"/>
      <c r="FL15" s="23"/>
      <c r="FM15" s="23"/>
      <c r="FN15" s="23"/>
      <c r="FO15" s="23"/>
      <c r="FP15" s="23"/>
      <c r="FQ15" s="23"/>
      <c r="FR15" s="23"/>
      <c r="FS15" s="23"/>
      <c r="FT15" s="23"/>
      <c r="FU15" s="23"/>
      <c r="FV15" s="23"/>
      <c r="FW15" s="23"/>
      <c r="FX15" s="23"/>
      <c r="FY15" s="23"/>
      <c r="FZ15" s="23"/>
      <c r="GA15" s="23"/>
      <c r="GB15" s="23"/>
      <c r="GC15" s="23"/>
      <c r="GD15" s="23"/>
      <c r="GE15" s="23"/>
      <c r="GF15" s="23"/>
      <c r="GG15" s="23"/>
      <c r="GH15" s="23"/>
      <c r="GI15" s="23"/>
      <c r="GJ15" s="23"/>
      <c r="GK15" s="23"/>
      <c r="GL15" s="23"/>
      <c r="GM15" s="23"/>
      <c r="GN15" s="23"/>
      <c r="GO15" s="23"/>
      <c r="GP15" s="23"/>
      <c r="GQ15" s="23"/>
      <c r="GR15" s="23"/>
      <c r="GS15" s="23"/>
      <c r="GT15" s="23"/>
      <c r="GU15" s="23"/>
      <c r="GV15" s="23"/>
      <c r="GW15" s="23"/>
      <c r="GX15" s="23"/>
      <c r="GY15" s="23"/>
      <c r="GZ15" s="23"/>
      <c r="HA15" s="23"/>
      <c r="HB15" s="23"/>
      <c r="HC15" s="23"/>
      <c r="HD15" s="23"/>
      <c r="HE15" s="23"/>
      <c r="HF15" s="23"/>
    </row>
    <row r="16" spans="1:214" s="12" customFormat="1" ht="24" customHeight="1">
      <c r="A16" s="47"/>
      <c r="B16" s="296" t="s">
        <v>86</v>
      </c>
      <c r="C16" s="296"/>
      <c r="D16" s="296"/>
      <c r="E16" s="361"/>
      <c r="F16" s="22"/>
      <c r="G16" s="22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/>
      <c r="BJ16" s="23"/>
      <c r="BK16" s="23"/>
      <c r="BL16" s="23"/>
      <c r="BM16" s="23"/>
      <c r="BN16" s="23"/>
      <c r="BO16" s="23"/>
      <c r="BP16" s="23"/>
      <c r="BQ16" s="23"/>
      <c r="BR16" s="23"/>
      <c r="BS16" s="23"/>
      <c r="BT16" s="23"/>
      <c r="BU16" s="23"/>
      <c r="BV16" s="23"/>
      <c r="BW16" s="23"/>
      <c r="BX16" s="23"/>
      <c r="BY16" s="23"/>
      <c r="BZ16" s="23"/>
      <c r="CA16" s="23"/>
      <c r="CB16" s="23"/>
      <c r="CC16" s="23"/>
      <c r="CD16" s="23"/>
      <c r="CE16" s="23"/>
      <c r="CF16" s="23"/>
      <c r="CG16" s="23"/>
      <c r="CH16" s="23"/>
      <c r="CI16" s="23"/>
      <c r="CJ16" s="23"/>
      <c r="CK16" s="23"/>
      <c r="CL16" s="23"/>
      <c r="CM16" s="23"/>
      <c r="CN16" s="23"/>
      <c r="CO16" s="23"/>
      <c r="CP16" s="23"/>
      <c r="CQ16" s="23"/>
      <c r="CR16" s="23"/>
      <c r="CS16" s="23"/>
      <c r="CT16" s="23"/>
      <c r="CU16" s="23"/>
      <c r="CV16" s="23"/>
      <c r="CW16" s="23"/>
      <c r="CX16" s="23"/>
      <c r="CY16" s="23"/>
      <c r="CZ16" s="23"/>
      <c r="DA16" s="23"/>
      <c r="DB16" s="23"/>
      <c r="DC16" s="23"/>
      <c r="DD16" s="23"/>
      <c r="DE16" s="23"/>
      <c r="DF16" s="23"/>
      <c r="DG16" s="23"/>
      <c r="DH16" s="23"/>
      <c r="DI16" s="23"/>
      <c r="DJ16" s="23"/>
      <c r="DK16" s="23"/>
      <c r="DL16" s="23"/>
      <c r="DM16" s="23"/>
      <c r="DN16" s="23"/>
      <c r="DO16" s="23"/>
      <c r="DP16" s="23"/>
      <c r="DQ16" s="23"/>
      <c r="DR16" s="23"/>
      <c r="DS16" s="23"/>
      <c r="DT16" s="23"/>
      <c r="DU16" s="23"/>
      <c r="DV16" s="23"/>
      <c r="DW16" s="23"/>
      <c r="DX16" s="23"/>
      <c r="DY16" s="23"/>
      <c r="DZ16" s="23"/>
      <c r="EA16" s="23"/>
      <c r="EB16" s="23"/>
      <c r="EC16" s="23"/>
      <c r="ED16" s="23"/>
      <c r="EE16" s="23"/>
      <c r="EF16" s="23"/>
      <c r="EG16" s="23"/>
      <c r="EH16" s="23"/>
      <c r="EI16" s="23"/>
      <c r="EJ16" s="23"/>
      <c r="EK16" s="23"/>
      <c r="EL16" s="23"/>
      <c r="EM16" s="23"/>
      <c r="EN16" s="23"/>
      <c r="EO16" s="23"/>
      <c r="EP16" s="23"/>
      <c r="EQ16" s="23"/>
      <c r="ER16" s="23"/>
      <c r="ES16" s="23"/>
      <c r="ET16" s="23"/>
      <c r="EU16" s="23"/>
      <c r="EV16" s="23"/>
      <c r="EW16" s="23"/>
      <c r="EX16" s="23"/>
      <c r="EY16" s="23"/>
      <c r="EZ16" s="23"/>
      <c r="FA16" s="23"/>
      <c r="FB16" s="23"/>
      <c r="FC16" s="23"/>
      <c r="FD16" s="23"/>
      <c r="FE16" s="23"/>
      <c r="FF16" s="23"/>
      <c r="FG16" s="23"/>
      <c r="FH16" s="23"/>
      <c r="FI16" s="23"/>
      <c r="FJ16" s="23"/>
      <c r="FK16" s="23"/>
      <c r="FL16" s="23"/>
      <c r="FM16" s="23"/>
      <c r="FN16" s="23"/>
      <c r="FO16" s="23"/>
      <c r="FP16" s="23"/>
      <c r="FQ16" s="23"/>
      <c r="FR16" s="23"/>
      <c r="FS16" s="23"/>
      <c r="FT16" s="23"/>
      <c r="FU16" s="23"/>
      <c r="FV16" s="23"/>
      <c r="FW16" s="23"/>
      <c r="FX16" s="23"/>
      <c r="FY16" s="23"/>
      <c r="FZ16" s="23"/>
      <c r="GA16" s="23"/>
      <c r="GB16" s="23"/>
      <c r="GC16" s="23"/>
      <c r="GD16" s="23"/>
      <c r="GE16" s="23"/>
      <c r="GF16" s="23"/>
      <c r="GG16" s="23"/>
      <c r="GH16" s="23"/>
      <c r="GI16" s="23"/>
      <c r="GJ16" s="23"/>
      <c r="GK16" s="23"/>
      <c r="GL16" s="23"/>
      <c r="GM16" s="23"/>
      <c r="GN16" s="23"/>
      <c r="GO16" s="23"/>
      <c r="GP16" s="23"/>
      <c r="GQ16" s="23"/>
      <c r="GR16" s="23"/>
      <c r="GS16" s="23"/>
      <c r="GT16" s="23"/>
      <c r="GU16" s="23"/>
      <c r="GV16" s="23"/>
      <c r="GW16" s="23"/>
      <c r="GX16" s="23"/>
      <c r="GY16" s="23"/>
      <c r="GZ16" s="23"/>
      <c r="HA16" s="23"/>
      <c r="HB16" s="23"/>
      <c r="HC16" s="23"/>
      <c r="HD16" s="23"/>
      <c r="HE16" s="23"/>
      <c r="HF16" s="23"/>
    </row>
    <row r="17" spans="1:214" s="12" customFormat="1" ht="24" customHeight="1">
      <c r="A17" s="47"/>
      <c r="B17" s="296" t="s">
        <v>87</v>
      </c>
      <c r="C17" s="296"/>
      <c r="D17" s="296"/>
      <c r="E17" s="361"/>
      <c r="F17" s="22"/>
      <c r="G17" s="22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/>
      <c r="BJ17" s="23"/>
      <c r="BK17" s="23"/>
      <c r="BL17" s="23"/>
      <c r="BM17" s="23"/>
      <c r="BN17" s="23"/>
      <c r="BO17" s="23"/>
      <c r="BP17" s="23"/>
      <c r="BQ17" s="23"/>
      <c r="BR17" s="23"/>
      <c r="BS17" s="23"/>
      <c r="BT17" s="23"/>
      <c r="BU17" s="23"/>
      <c r="BV17" s="23"/>
      <c r="BW17" s="23"/>
      <c r="BX17" s="23"/>
      <c r="BY17" s="23"/>
      <c r="BZ17" s="23"/>
      <c r="CA17" s="23"/>
      <c r="CB17" s="23"/>
      <c r="CC17" s="23"/>
      <c r="CD17" s="23"/>
      <c r="CE17" s="23"/>
      <c r="CF17" s="23"/>
      <c r="CG17" s="23"/>
      <c r="CH17" s="23"/>
      <c r="CI17" s="23"/>
      <c r="CJ17" s="23"/>
      <c r="CK17" s="23"/>
      <c r="CL17" s="23"/>
      <c r="CM17" s="23"/>
      <c r="CN17" s="23"/>
      <c r="CO17" s="23"/>
      <c r="CP17" s="23"/>
      <c r="CQ17" s="23"/>
      <c r="CR17" s="23"/>
      <c r="CS17" s="23"/>
      <c r="CT17" s="23"/>
      <c r="CU17" s="23"/>
      <c r="CV17" s="23"/>
      <c r="CW17" s="23"/>
      <c r="CX17" s="23"/>
      <c r="CY17" s="23"/>
      <c r="CZ17" s="23"/>
      <c r="DA17" s="23"/>
      <c r="DB17" s="23"/>
      <c r="DC17" s="23"/>
      <c r="DD17" s="23"/>
      <c r="DE17" s="23"/>
      <c r="DF17" s="23"/>
      <c r="DG17" s="23"/>
      <c r="DH17" s="23"/>
      <c r="DI17" s="23"/>
      <c r="DJ17" s="23"/>
      <c r="DK17" s="23"/>
      <c r="DL17" s="23"/>
      <c r="DM17" s="23"/>
      <c r="DN17" s="23"/>
      <c r="DO17" s="23"/>
      <c r="DP17" s="23"/>
      <c r="DQ17" s="23"/>
      <c r="DR17" s="23"/>
      <c r="DS17" s="23"/>
      <c r="DT17" s="23"/>
      <c r="DU17" s="23"/>
      <c r="DV17" s="23"/>
      <c r="DW17" s="23"/>
      <c r="DX17" s="23"/>
      <c r="DY17" s="23"/>
      <c r="DZ17" s="23"/>
      <c r="EA17" s="23"/>
      <c r="EB17" s="23"/>
      <c r="EC17" s="23"/>
      <c r="ED17" s="23"/>
      <c r="EE17" s="23"/>
      <c r="EF17" s="23"/>
      <c r="EG17" s="23"/>
      <c r="EH17" s="23"/>
      <c r="EI17" s="23"/>
      <c r="EJ17" s="23"/>
      <c r="EK17" s="23"/>
      <c r="EL17" s="23"/>
      <c r="EM17" s="23"/>
      <c r="EN17" s="23"/>
      <c r="EO17" s="23"/>
      <c r="EP17" s="23"/>
      <c r="EQ17" s="23"/>
      <c r="ER17" s="23"/>
      <c r="ES17" s="23"/>
      <c r="ET17" s="23"/>
      <c r="EU17" s="23"/>
      <c r="EV17" s="23"/>
      <c r="EW17" s="23"/>
      <c r="EX17" s="23"/>
      <c r="EY17" s="23"/>
      <c r="EZ17" s="23"/>
      <c r="FA17" s="23"/>
      <c r="FB17" s="23"/>
      <c r="FC17" s="23"/>
      <c r="FD17" s="23"/>
      <c r="FE17" s="23"/>
      <c r="FF17" s="23"/>
      <c r="FG17" s="23"/>
      <c r="FH17" s="23"/>
      <c r="FI17" s="23"/>
      <c r="FJ17" s="23"/>
      <c r="FK17" s="23"/>
      <c r="FL17" s="23"/>
      <c r="FM17" s="23"/>
      <c r="FN17" s="23"/>
      <c r="FO17" s="23"/>
      <c r="FP17" s="23"/>
      <c r="FQ17" s="23"/>
      <c r="FR17" s="23"/>
      <c r="FS17" s="23"/>
      <c r="FT17" s="23"/>
      <c r="FU17" s="23"/>
      <c r="FV17" s="23"/>
      <c r="FW17" s="23"/>
      <c r="FX17" s="23"/>
      <c r="FY17" s="23"/>
      <c r="FZ17" s="23"/>
      <c r="GA17" s="23"/>
      <c r="GB17" s="23"/>
      <c r="GC17" s="23"/>
      <c r="GD17" s="23"/>
      <c r="GE17" s="23"/>
      <c r="GF17" s="23"/>
      <c r="GG17" s="23"/>
      <c r="GH17" s="23"/>
      <c r="GI17" s="23"/>
      <c r="GJ17" s="23"/>
      <c r="GK17" s="23"/>
      <c r="GL17" s="23"/>
      <c r="GM17" s="23"/>
      <c r="GN17" s="23"/>
      <c r="GO17" s="23"/>
      <c r="GP17" s="23"/>
      <c r="GQ17" s="23"/>
      <c r="GR17" s="23"/>
      <c r="GS17" s="23"/>
      <c r="GT17" s="23"/>
      <c r="GU17" s="23"/>
      <c r="GV17" s="23"/>
      <c r="GW17" s="23"/>
      <c r="GX17" s="23"/>
      <c r="GY17" s="23"/>
      <c r="GZ17" s="23"/>
      <c r="HA17" s="23"/>
      <c r="HB17" s="23"/>
      <c r="HC17" s="23"/>
      <c r="HD17" s="23"/>
      <c r="HE17" s="23"/>
      <c r="HF17" s="23"/>
    </row>
    <row r="18" spans="1:214" s="12" customFormat="1" ht="24" customHeight="1">
      <c r="A18" s="47"/>
      <c r="B18" s="296" t="s">
        <v>88</v>
      </c>
      <c r="C18" s="296"/>
      <c r="D18" s="296"/>
      <c r="E18" s="361"/>
      <c r="F18" s="22"/>
      <c r="G18" s="22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23"/>
      <c r="BN18" s="23"/>
      <c r="BO18" s="23"/>
      <c r="BP18" s="23"/>
      <c r="BQ18" s="23"/>
      <c r="BR18" s="23"/>
      <c r="BS18" s="23"/>
      <c r="BT18" s="23"/>
      <c r="BU18" s="23"/>
      <c r="BV18" s="23"/>
      <c r="BW18" s="23"/>
      <c r="BX18" s="23"/>
      <c r="BY18" s="23"/>
      <c r="BZ18" s="23"/>
      <c r="CA18" s="23"/>
      <c r="CB18" s="23"/>
      <c r="CC18" s="23"/>
      <c r="CD18" s="23"/>
      <c r="CE18" s="23"/>
      <c r="CF18" s="23"/>
      <c r="CG18" s="23"/>
      <c r="CH18" s="23"/>
      <c r="CI18" s="23"/>
      <c r="CJ18" s="23"/>
      <c r="CK18" s="23"/>
      <c r="CL18" s="23"/>
      <c r="CM18" s="23"/>
      <c r="CN18" s="23"/>
      <c r="CO18" s="23"/>
      <c r="CP18" s="23"/>
      <c r="CQ18" s="23"/>
      <c r="CR18" s="23"/>
      <c r="CS18" s="23"/>
      <c r="CT18" s="23"/>
      <c r="CU18" s="23"/>
      <c r="CV18" s="23"/>
      <c r="CW18" s="23"/>
      <c r="CX18" s="23"/>
      <c r="CY18" s="23"/>
      <c r="CZ18" s="23"/>
      <c r="DA18" s="23"/>
      <c r="DB18" s="23"/>
      <c r="DC18" s="23"/>
      <c r="DD18" s="23"/>
      <c r="DE18" s="23"/>
      <c r="DF18" s="23"/>
      <c r="DG18" s="23"/>
      <c r="DH18" s="23"/>
      <c r="DI18" s="23"/>
      <c r="DJ18" s="23"/>
      <c r="DK18" s="23"/>
      <c r="DL18" s="23"/>
      <c r="DM18" s="23"/>
      <c r="DN18" s="23"/>
      <c r="DO18" s="23"/>
      <c r="DP18" s="23"/>
      <c r="DQ18" s="23"/>
      <c r="DR18" s="23"/>
      <c r="DS18" s="23"/>
      <c r="DT18" s="23"/>
      <c r="DU18" s="23"/>
      <c r="DV18" s="23"/>
      <c r="DW18" s="23"/>
      <c r="DX18" s="23"/>
      <c r="DY18" s="23"/>
      <c r="DZ18" s="23"/>
      <c r="EA18" s="23"/>
      <c r="EB18" s="23"/>
      <c r="EC18" s="23"/>
      <c r="ED18" s="23"/>
      <c r="EE18" s="23"/>
      <c r="EF18" s="23"/>
      <c r="EG18" s="23"/>
      <c r="EH18" s="23"/>
      <c r="EI18" s="23"/>
      <c r="EJ18" s="23"/>
      <c r="EK18" s="23"/>
      <c r="EL18" s="23"/>
      <c r="EM18" s="23"/>
      <c r="EN18" s="23"/>
      <c r="EO18" s="23"/>
      <c r="EP18" s="23"/>
      <c r="EQ18" s="23"/>
      <c r="ER18" s="23"/>
      <c r="ES18" s="23"/>
      <c r="ET18" s="23"/>
      <c r="EU18" s="23"/>
      <c r="EV18" s="23"/>
      <c r="EW18" s="23"/>
      <c r="EX18" s="23"/>
      <c r="EY18" s="23"/>
      <c r="EZ18" s="23"/>
      <c r="FA18" s="23"/>
      <c r="FB18" s="23"/>
      <c r="FC18" s="23"/>
      <c r="FD18" s="23"/>
      <c r="FE18" s="23"/>
      <c r="FF18" s="23"/>
      <c r="FG18" s="23"/>
      <c r="FH18" s="23"/>
      <c r="FI18" s="23"/>
      <c r="FJ18" s="23"/>
      <c r="FK18" s="23"/>
      <c r="FL18" s="23"/>
      <c r="FM18" s="23"/>
      <c r="FN18" s="23"/>
      <c r="FO18" s="23"/>
      <c r="FP18" s="23"/>
      <c r="FQ18" s="23"/>
      <c r="FR18" s="23"/>
      <c r="FS18" s="23"/>
      <c r="FT18" s="23"/>
      <c r="FU18" s="23"/>
      <c r="FV18" s="23"/>
      <c r="FW18" s="23"/>
      <c r="FX18" s="23"/>
      <c r="FY18" s="23"/>
      <c r="FZ18" s="23"/>
      <c r="GA18" s="23"/>
      <c r="GB18" s="23"/>
      <c r="GC18" s="23"/>
      <c r="GD18" s="23"/>
      <c r="GE18" s="23"/>
      <c r="GF18" s="23"/>
      <c r="GG18" s="23"/>
      <c r="GH18" s="23"/>
      <c r="GI18" s="23"/>
      <c r="GJ18" s="23"/>
      <c r="GK18" s="23"/>
      <c r="GL18" s="23"/>
      <c r="GM18" s="23"/>
      <c r="GN18" s="23"/>
      <c r="GO18" s="23"/>
      <c r="GP18" s="23"/>
      <c r="GQ18" s="23"/>
      <c r="GR18" s="23"/>
      <c r="GS18" s="23"/>
      <c r="GT18" s="23"/>
      <c r="GU18" s="23"/>
      <c r="GV18" s="23"/>
      <c r="GW18" s="23"/>
      <c r="GX18" s="23"/>
      <c r="GY18" s="23"/>
      <c r="GZ18" s="23"/>
      <c r="HA18" s="23"/>
      <c r="HB18" s="23"/>
      <c r="HC18" s="23"/>
      <c r="HD18" s="23"/>
      <c r="HE18" s="23"/>
      <c r="HF18" s="23"/>
    </row>
    <row r="19" spans="1:214" s="12" customFormat="1" ht="24" customHeight="1">
      <c r="A19" s="47"/>
      <c r="B19" s="296" t="s">
        <v>89</v>
      </c>
      <c r="C19" s="296"/>
      <c r="D19" s="296"/>
      <c r="E19" s="361"/>
      <c r="F19" s="22"/>
      <c r="G19" s="22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23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  <c r="CB19" s="23"/>
      <c r="CC19" s="23"/>
      <c r="CD19" s="23"/>
      <c r="CE19" s="23"/>
      <c r="CF19" s="23"/>
      <c r="CG19" s="23"/>
      <c r="CH19" s="23"/>
      <c r="CI19" s="23"/>
      <c r="CJ19" s="23"/>
      <c r="CK19" s="23"/>
      <c r="CL19" s="23"/>
      <c r="CM19" s="23"/>
      <c r="CN19" s="23"/>
      <c r="CO19" s="23"/>
      <c r="CP19" s="23"/>
      <c r="CQ19" s="23"/>
      <c r="CR19" s="23"/>
      <c r="CS19" s="23"/>
      <c r="CT19" s="23"/>
      <c r="CU19" s="23"/>
      <c r="CV19" s="23"/>
      <c r="CW19" s="23"/>
      <c r="CX19" s="23"/>
      <c r="CY19" s="23"/>
      <c r="CZ19" s="23"/>
      <c r="DA19" s="23"/>
      <c r="DB19" s="23"/>
      <c r="DC19" s="23"/>
      <c r="DD19" s="23"/>
      <c r="DE19" s="23"/>
      <c r="DF19" s="23"/>
      <c r="DG19" s="23"/>
      <c r="DH19" s="23"/>
      <c r="DI19" s="23"/>
      <c r="DJ19" s="23"/>
      <c r="DK19" s="23"/>
      <c r="DL19" s="23"/>
      <c r="DM19" s="23"/>
      <c r="DN19" s="23"/>
      <c r="DO19" s="23"/>
      <c r="DP19" s="23"/>
      <c r="DQ19" s="23"/>
      <c r="DR19" s="23"/>
      <c r="DS19" s="23"/>
      <c r="DT19" s="23"/>
      <c r="DU19" s="23"/>
      <c r="DV19" s="23"/>
      <c r="DW19" s="23"/>
      <c r="DX19" s="23"/>
      <c r="DY19" s="23"/>
      <c r="DZ19" s="23"/>
      <c r="EA19" s="23"/>
      <c r="EB19" s="23"/>
      <c r="EC19" s="23"/>
      <c r="ED19" s="23"/>
      <c r="EE19" s="23"/>
      <c r="EF19" s="23"/>
      <c r="EG19" s="23"/>
      <c r="EH19" s="23"/>
      <c r="EI19" s="23"/>
      <c r="EJ19" s="23"/>
      <c r="EK19" s="23"/>
      <c r="EL19" s="23"/>
      <c r="EM19" s="23"/>
      <c r="EN19" s="23"/>
      <c r="EO19" s="23"/>
      <c r="EP19" s="23"/>
      <c r="EQ19" s="23"/>
      <c r="ER19" s="23"/>
      <c r="ES19" s="23"/>
      <c r="ET19" s="23"/>
      <c r="EU19" s="23"/>
      <c r="EV19" s="23"/>
      <c r="EW19" s="23"/>
      <c r="EX19" s="23"/>
      <c r="EY19" s="23"/>
      <c r="EZ19" s="23"/>
      <c r="FA19" s="23"/>
      <c r="FB19" s="23"/>
      <c r="FC19" s="23"/>
      <c r="FD19" s="23"/>
      <c r="FE19" s="23"/>
      <c r="FF19" s="23"/>
      <c r="FG19" s="23"/>
      <c r="FH19" s="23"/>
      <c r="FI19" s="23"/>
      <c r="FJ19" s="23"/>
      <c r="FK19" s="23"/>
      <c r="FL19" s="23"/>
      <c r="FM19" s="23"/>
      <c r="FN19" s="23"/>
      <c r="FO19" s="23"/>
      <c r="FP19" s="23"/>
      <c r="FQ19" s="23"/>
      <c r="FR19" s="23"/>
      <c r="FS19" s="23"/>
      <c r="FT19" s="23"/>
      <c r="FU19" s="23"/>
      <c r="FV19" s="23"/>
      <c r="FW19" s="23"/>
      <c r="FX19" s="23"/>
      <c r="FY19" s="23"/>
      <c r="FZ19" s="23"/>
      <c r="GA19" s="23"/>
      <c r="GB19" s="23"/>
      <c r="GC19" s="23"/>
      <c r="GD19" s="23"/>
      <c r="GE19" s="23"/>
      <c r="GF19" s="23"/>
      <c r="GG19" s="23"/>
      <c r="GH19" s="23"/>
      <c r="GI19" s="23"/>
      <c r="GJ19" s="23"/>
      <c r="GK19" s="23"/>
      <c r="GL19" s="23"/>
      <c r="GM19" s="23"/>
      <c r="GN19" s="23"/>
      <c r="GO19" s="23"/>
      <c r="GP19" s="23"/>
      <c r="GQ19" s="23"/>
      <c r="GR19" s="23"/>
      <c r="GS19" s="23"/>
      <c r="GT19" s="23"/>
      <c r="GU19" s="23"/>
      <c r="GV19" s="23"/>
      <c r="GW19" s="23"/>
      <c r="GX19" s="23"/>
      <c r="GY19" s="23"/>
      <c r="GZ19" s="23"/>
      <c r="HA19" s="23"/>
      <c r="HB19" s="23"/>
      <c r="HC19" s="23"/>
      <c r="HD19" s="23"/>
      <c r="HE19" s="23"/>
      <c r="HF19" s="23"/>
    </row>
    <row r="20" spans="1:214" s="12" customFormat="1" ht="24" customHeight="1">
      <c r="A20" s="47"/>
      <c r="B20" s="296" t="s">
        <v>90</v>
      </c>
      <c r="C20" s="296"/>
      <c r="D20" s="296"/>
      <c r="E20" s="361"/>
      <c r="F20" s="22"/>
      <c r="G20" s="22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/>
      <c r="BJ20" s="23"/>
      <c r="BK20" s="23"/>
      <c r="BL20" s="23"/>
      <c r="BM20" s="23"/>
      <c r="BN20" s="23"/>
      <c r="BO20" s="23"/>
      <c r="BP20" s="23"/>
      <c r="BQ20" s="23"/>
      <c r="BR20" s="23"/>
      <c r="BS20" s="23"/>
      <c r="BT20" s="23"/>
      <c r="BU20" s="23"/>
      <c r="BV20" s="23"/>
      <c r="BW20" s="23"/>
      <c r="BX20" s="23"/>
      <c r="BY20" s="23"/>
      <c r="BZ20" s="23"/>
      <c r="CA20" s="23"/>
      <c r="CB20" s="23"/>
      <c r="CC20" s="23"/>
      <c r="CD20" s="23"/>
      <c r="CE20" s="23"/>
      <c r="CF20" s="23"/>
      <c r="CG20" s="23"/>
      <c r="CH20" s="23"/>
      <c r="CI20" s="23"/>
      <c r="CJ20" s="23"/>
      <c r="CK20" s="23"/>
      <c r="CL20" s="23"/>
      <c r="CM20" s="23"/>
      <c r="CN20" s="23"/>
      <c r="CO20" s="23"/>
      <c r="CP20" s="23"/>
      <c r="CQ20" s="23"/>
      <c r="CR20" s="23"/>
      <c r="CS20" s="23"/>
      <c r="CT20" s="23"/>
      <c r="CU20" s="23"/>
      <c r="CV20" s="23"/>
      <c r="CW20" s="23"/>
      <c r="CX20" s="23"/>
      <c r="CY20" s="23"/>
      <c r="CZ20" s="23"/>
      <c r="DA20" s="23"/>
      <c r="DB20" s="23"/>
      <c r="DC20" s="23"/>
      <c r="DD20" s="23"/>
      <c r="DE20" s="23"/>
      <c r="DF20" s="23"/>
      <c r="DG20" s="23"/>
      <c r="DH20" s="23"/>
      <c r="DI20" s="23"/>
      <c r="DJ20" s="23"/>
      <c r="DK20" s="23"/>
      <c r="DL20" s="23"/>
      <c r="DM20" s="23"/>
      <c r="DN20" s="23"/>
      <c r="DO20" s="23"/>
      <c r="DP20" s="23"/>
      <c r="DQ20" s="23"/>
      <c r="DR20" s="23"/>
      <c r="DS20" s="23"/>
      <c r="DT20" s="23"/>
      <c r="DU20" s="23"/>
      <c r="DV20" s="23"/>
      <c r="DW20" s="23"/>
      <c r="DX20" s="23"/>
      <c r="DY20" s="23"/>
      <c r="DZ20" s="23"/>
      <c r="EA20" s="23"/>
      <c r="EB20" s="23"/>
      <c r="EC20" s="23"/>
      <c r="ED20" s="23"/>
      <c r="EE20" s="23"/>
      <c r="EF20" s="23"/>
      <c r="EG20" s="23"/>
      <c r="EH20" s="23"/>
      <c r="EI20" s="23"/>
      <c r="EJ20" s="23"/>
      <c r="EK20" s="23"/>
      <c r="EL20" s="23"/>
      <c r="EM20" s="23"/>
      <c r="EN20" s="23"/>
      <c r="EO20" s="23"/>
      <c r="EP20" s="23"/>
      <c r="EQ20" s="23"/>
      <c r="ER20" s="23"/>
      <c r="ES20" s="23"/>
      <c r="ET20" s="23"/>
      <c r="EU20" s="23"/>
      <c r="EV20" s="23"/>
      <c r="EW20" s="23"/>
      <c r="EX20" s="23"/>
      <c r="EY20" s="23"/>
      <c r="EZ20" s="23"/>
      <c r="FA20" s="23"/>
      <c r="FB20" s="23"/>
      <c r="FC20" s="23"/>
      <c r="FD20" s="23"/>
      <c r="FE20" s="23"/>
      <c r="FF20" s="23"/>
      <c r="FG20" s="23"/>
      <c r="FH20" s="23"/>
      <c r="FI20" s="23"/>
      <c r="FJ20" s="23"/>
      <c r="FK20" s="23"/>
      <c r="FL20" s="23"/>
      <c r="FM20" s="23"/>
      <c r="FN20" s="23"/>
      <c r="FO20" s="23"/>
      <c r="FP20" s="23"/>
      <c r="FQ20" s="23"/>
      <c r="FR20" s="23"/>
      <c r="FS20" s="23"/>
      <c r="FT20" s="23"/>
      <c r="FU20" s="23"/>
      <c r="FV20" s="23"/>
      <c r="FW20" s="23"/>
      <c r="FX20" s="23"/>
      <c r="FY20" s="23"/>
      <c r="FZ20" s="23"/>
      <c r="GA20" s="23"/>
      <c r="GB20" s="23"/>
      <c r="GC20" s="23"/>
      <c r="GD20" s="23"/>
      <c r="GE20" s="23"/>
      <c r="GF20" s="23"/>
      <c r="GG20" s="23"/>
      <c r="GH20" s="23"/>
      <c r="GI20" s="23"/>
      <c r="GJ20" s="23"/>
      <c r="GK20" s="23"/>
      <c r="GL20" s="23"/>
      <c r="GM20" s="23"/>
      <c r="GN20" s="23"/>
      <c r="GO20" s="23"/>
      <c r="GP20" s="23"/>
      <c r="GQ20" s="23"/>
      <c r="GR20" s="23"/>
      <c r="GS20" s="23"/>
      <c r="GT20" s="23"/>
      <c r="GU20" s="23"/>
      <c r="GV20" s="23"/>
      <c r="GW20" s="23"/>
      <c r="GX20" s="23"/>
      <c r="GY20" s="23"/>
      <c r="GZ20" s="23"/>
      <c r="HA20" s="23"/>
      <c r="HB20" s="23"/>
      <c r="HC20" s="23"/>
      <c r="HD20" s="23"/>
      <c r="HE20" s="23"/>
      <c r="HF20" s="23"/>
    </row>
    <row r="21" spans="1:214" s="12" customFormat="1" ht="24" customHeight="1">
      <c r="A21" s="47"/>
      <c r="B21" s="296" t="s">
        <v>91</v>
      </c>
      <c r="C21" s="296"/>
      <c r="D21" s="296"/>
      <c r="E21" s="361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G21" s="23"/>
      <c r="BH21" s="23"/>
      <c r="BI21" s="23"/>
      <c r="BJ21" s="23"/>
      <c r="BK21" s="23"/>
      <c r="BL21" s="23"/>
      <c r="BM21" s="23"/>
      <c r="BN21" s="23"/>
      <c r="BO21" s="23"/>
      <c r="BP21" s="23"/>
      <c r="BQ21" s="23"/>
      <c r="BR21" s="23"/>
      <c r="BS21" s="23"/>
      <c r="BT21" s="23"/>
      <c r="BU21" s="23"/>
      <c r="BV21" s="23"/>
      <c r="BW21" s="23"/>
      <c r="BX21" s="23"/>
      <c r="BY21" s="23"/>
      <c r="BZ21" s="23"/>
      <c r="CA21" s="23"/>
      <c r="CB21" s="23"/>
      <c r="CC21" s="23"/>
      <c r="CD21" s="23"/>
      <c r="CE21" s="23"/>
      <c r="CF21" s="23"/>
      <c r="CG21" s="23"/>
      <c r="CH21" s="23"/>
      <c r="CI21" s="23"/>
      <c r="CJ21" s="23"/>
      <c r="CK21" s="23"/>
      <c r="CL21" s="23"/>
      <c r="CM21" s="23"/>
      <c r="CN21" s="23"/>
      <c r="CO21" s="23"/>
      <c r="CP21" s="23"/>
      <c r="CQ21" s="23"/>
      <c r="CR21" s="23"/>
      <c r="CS21" s="23"/>
      <c r="CT21" s="23"/>
      <c r="CU21" s="23"/>
      <c r="CV21" s="23"/>
      <c r="CW21" s="23"/>
      <c r="CX21" s="23"/>
      <c r="CY21" s="23"/>
      <c r="CZ21" s="23"/>
      <c r="DA21" s="23"/>
      <c r="DB21" s="23"/>
      <c r="DC21" s="23"/>
      <c r="DD21" s="23"/>
      <c r="DE21" s="23"/>
      <c r="DF21" s="23"/>
      <c r="DG21" s="23"/>
      <c r="DH21" s="23"/>
      <c r="DI21" s="23"/>
      <c r="DJ21" s="23"/>
      <c r="DK21" s="23"/>
      <c r="DL21" s="23"/>
      <c r="DM21" s="23"/>
      <c r="DN21" s="23"/>
      <c r="DO21" s="23"/>
      <c r="DP21" s="23"/>
      <c r="DQ21" s="23"/>
      <c r="DR21" s="23"/>
      <c r="DS21" s="23"/>
      <c r="DT21" s="23"/>
      <c r="DU21" s="23"/>
      <c r="DV21" s="23"/>
      <c r="DW21" s="23"/>
      <c r="DX21" s="23"/>
      <c r="DY21" s="23"/>
      <c r="DZ21" s="23"/>
      <c r="EA21" s="23"/>
      <c r="EB21" s="23"/>
      <c r="EC21" s="23"/>
      <c r="ED21" s="23"/>
      <c r="EE21" s="23"/>
      <c r="EF21" s="23"/>
      <c r="EG21" s="23"/>
      <c r="EH21" s="23"/>
      <c r="EI21" s="23"/>
      <c r="EJ21" s="23"/>
      <c r="EK21" s="23"/>
      <c r="EL21" s="23"/>
      <c r="EM21" s="23"/>
      <c r="EN21" s="23"/>
      <c r="EO21" s="23"/>
      <c r="EP21" s="23"/>
      <c r="EQ21" s="23"/>
      <c r="ER21" s="23"/>
      <c r="ES21" s="23"/>
      <c r="ET21" s="23"/>
      <c r="EU21" s="23"/>
      <c r="EV21" s="23"/>
      <c r="EW21" s="23"/>
      <c r="EX21" s="23"/>
      <c r="EY21" s="23"/>
      <c r="EZ21" s="23"/>
      <c r="FA21" s="23"/>
      <c r="FB21" s="23"/>
      <c r="FC21" s="23"/>
      <c r="FD21" s="23"/>
      <c r="FE21" s="23"/>
      <c r="FF21" s="23"/>
      <c r="FG21" s="23"/>
      <c r="FH21" s="23"/>
      <c r="FI21" s="23"/>
      <c r="FJ21" s="23"/>
      <c r="FK21" s="23"/>
      <c r="FL21" s="23"/>
      <c r="FM21" s="23"/>
      <c r="FN21" s="23"/>
      <c r="FO21" s="23"/>
      <c r="FP21" s="23"/>
      <c r="FQ21" s="23"/>
      <c r="FR21" s="23"/>
      <c r="FS21" s="23"/>
      <c r="FT21" s="23"/>
      <c r="FU21" s="23"/>
      <c r="FV21" s="23"/>
      <c r="FW21" s="23"/>
      <c r="FX21" s="23"/>
      <c r="FY21" s="23"/>
      <c r="FZ21" s="23"/>
      <c r="GA21" s="23"/>
      <c r="GB21" s="23"/>
      <c r="GC21" s="23"/>
      <c r="GD21" s="23"/>
      <c r="GE21" s="23"/>
      <c r="GF21" s="23"/>
      <c r="GG21" s="23"/>
      <c r="GH21" s="23"/>
      <c r="GI21" s="23"/>
      <c r="GJ21" s="23"/>
      <c r="GK21" s="23"/>
      <c r="GL21" s="23"/>
      <c r="GM21" s="23"/>
      <c r="GN21" s="23"/>
      <c r="GO21" s="23"/>
      <c r="GP21" s="23"/>
      <c r="GQ21" s="23"/>
      <c r="GR21" s="23"/>
      <c r="GS21" s="23"/>
      <c r="GT21" s="23"/>
      <c r="GU21" s="23"/>
      <c r="GV21" s="23"/>
      <c r="GW21" s="23"/>
      <c r="GX21" s="23"/>
      <c r="GY21" s="23"/>
      <c r="GZ21" s="23"/>
      <c r="HA21" s="23"/>
      <c r="HB21" s="23"/>
      <c r="HC21" s="23"/>
      <c r="HD21" s="23"/>
      <c r="HE21" s="23"/>
      <c r="HF21" s="23"/>
    </row>
    <row r="22" spans="1:214" s="12" customFormat="1" ht="24" customHeight="1">
      <c r="A22" s="47"/>
      <c r="B22" s="296" t="s">
        <v>92</v>
      </c>
      <c r="C22" s="296"/>
      <c r="D22" s="296"/>
      <c r="E22" s="361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/>
      <c r="BJ22" s="23"/>
      <c r="BK22" s="23"/>
      <c r="BL22" s="23"/>
      <c r="BM22" s="23"/>
      <c r="BN22" s="23"/>
      <c r="BO22" s="23"/>
      <c r="BP22" s="23"/>
      <c r="BQ22" s="23"/>
      <c r="BR22" s="23"/>
      <c r="BS22" s="23"/>
      <c r="BT22" s="23"/>
      <c r="BU22" s="23"/>
      <c r="BV22" s="23"/>
      <c r="BW22" s="23"/>
      <c r="BX22" s="23"/>
      <c r="BY22" s="23"/>
      <c r="BZ22" s="23"/>
      <c r="CA22" s="23"/>
      <c r="CB22" s="23"/>
      <c r="CC22" s="23"/>
      <c r="CD22" s="23"/>
      <c r="CE22" s="23"/>
      <c r="CF22" s="23"/>
      <c r="CG22" s="23"/>
      <c r="CH22" s="23"/>
      <c r="CI22" s="23"/>
      <c r="CJ22" s="23"/>
      <c r="CK22" s="23"/>
      <c r="CL22" s="23"/>
      <c r="CM22" s="23"/>
      <c r="CN22" s="23"/>
      <c r="CO22" s="23"/>
      <c r="CP22" s="23"/>
      <c r="CQ22" s="23"/>
      <c r="CR22" s="23"/>
      <c r="CS22" s="23"/>
      <c r="CT22" s="23"/>
      <c r="CU22" s="23"/>
      <c r="CV22" s="23"/>
      <c r="CW22" s="23"/>
      <c r="CX22" s="23"/>
      <c r="CY22" s="23"/>
      <c r="CZ22" s="23"/>
      <c r="DA22" s="23"/>
      <c r="DB22" s="23"/>
      <c r="DC22" s="23"/>
      <c r="DD22" s="23"/>
      <c r="DE22" s="23"/>
      <c r="DF22" s="23"/>
      <c r="DG22" s="23"/>
      <c r="DH22" s="23"/>
      <c r="DI22" s="23"/>
      <c r="DJ22" s="23"/>
      <c r="DK22" s="23"/>
      <c r="DL22" s="23"/>
      <c r="DM22" s="23"/>
      <c r="DN22" s="23"/>
      <c r="DO22" s="23"/>
      <c r="DP22" s="23"/>
      <c r="DQ22" s="23"/>
      <c r="DR22" s="23"/>
      <c r="DS22" s="23"/>
      <c r="DT22" s="23"/>
      <c r="DU22" s="23"/>
      <c r="DV22" s="23"/>
      <c r="DW22" s="23"/>
      <c r="DX22" s="23"/>
      <c r="DY22" s="23"/>
      <c r="DZ22" s="23"/>
      <c r="EA22" s="23"/>
      <c r="EB22" s="23"/>
      <c r="EC22" s="23"/>
      <c r="ED22" s="23"/>
      <c r="EE22" s="23"/>
      <c r="EF22" s="23"/>
      <c r="EG22" s="23"/>
      <c r="EH22" s="23"/>
      <c r="EI22" s="23"/>
      <c r="EJ22" s="23"/>
      <c r="EK22" s="23"/>
      <c r="EL22" s="23"/>
      <c r="EM22" s="23"/>
      <c r="EN22" s="23"/>
      <c r="EO22" s="23"/>
      <c r="EP22" s="23"/>
      <c r="EQ22" s="23"/>
      <c r="ER22" s="23"/>
      <c r="ES22" s="23"/>
      <c r="ET22" s="23"/>
      <c r="EU22" s="23"/>
      <c r="EV22" s="23"/>
      <c r="EW22" s="23"/>
      <c r="EX22" s="23"/>
      <c r="EY22" s="23"/>
      <c r="EZ22" s="23"/>
      <c r="FA22" s="23"/>
      <c r="FB22" s="23"/>
      <c r="FC22" s="23"/>
      <c r="FD22" s="23"/>
      <c r="FE22" s="23"/>
      <c r="FF22" s="23"/>
      <c r="FG22" s="23"/>
      <c r="FH22" s="23"/>
      <c r="FI22" s="23"/>
      <c r="FJ22" s="23"/>
      <c r="FK22" s="23"/>
      <c r="FL22" s="23"/>
      <c r="FM22" s="23"/>
      <c r="FN22" s="23"/>
      <c r="FO22" s="23"/>
      <c r="FP22" s="23"/>
      <c r="FQ22" s="23"/>
      <c r="FR22" s="23"/>
      <c r="FS22" s="23"/>
      <c r="FT22" s="23"/>
      <c r="FU22" s="23"/>
      <c r="FV22" s="23"/>
      <c r="FW22" s="23"/>
      <c r="FX22" s="23"/>
      <c r="FY22" s="23"/>
      <c r="FZ22" s="23"/>
      <c r="GA22" s="23"/>
      <c r="GB22" s="23"/>
      <c r="GC22" s="23"/>
      <c r="GD22" s="23"/>
      <c r="GE22" s="23"/>
      <c r="GF22" s="23"/>
      <c r="GG22" s="23"/>
      <c r="GH22" s="23"/>
      <c r="GI22" s="23"/>
      <c r="GJ22" s="23"/>
      <c r="GK22" s="23"/>
      <c r="GL22" s="23"/>
      <c r="GM22" s="23"/>
      <c r="GN22" s="23"/>
      <c r="GO22" s="23"/>
      <c r="GP22" s="23"/>
      <c r="GQ22" s="23"/>
      <c r="GR22" s="23"/>
      <c r="GS22" s="23"/>
      <c r="GT22" s="23"/>
      <c r="GU22" s="23"/>
      <c r="GV22" s="23"/>
      <c r="GW22" s="23"/>
      <c r="GX22" s="23"/>
      <c r="GY22" s="23"/>
      <c r="GZ22" s="23"/>
      <c r="HA22" s="23"/>
      <c r="HB22" s="23"/>
      <c r="HC22" s="23"/>
      <c r="HD22" s="23"/>
      <c r="HE22" s="23"/>
      <c r="HF22" s="23"/>
    </row>
    <row r="23" spans="1:214" s="12" customFormat="1" ht="24" customHeight="1" thickBot="1">
      <c r="A23" s="48"/>
      <c r="B23" s="356" t="s">
        <v>93</v>
      </c>
      <c r="C23" s="356"/>
      <c r="D23" s="356"/>
      <c r="E23" s="357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3"/>
      <c r="BJ23" s="23"/>
      <c r="BK23" s="23"/>
      <c r="BL23" s="23"/>
      <c r="BM23" s="23"/>
      <c r="BN23" s="23"/>
      <c r="BO23" s="23"/>
      <c r="BP23" s="23"/>
      <c r="BQ23" s="23"/>
      <c r="BR23" s="23"/>
      <c r="BS23" s="23"/>
      <c r="BT23" s="23"/>
      <c r="BU23" s="23"/>
      <c r="BV23" s="23"/>
      <c r="BW23" s="23"/>
      <c r="BX23" s="23"/>
      <c r="BY23" s="23"/>
      <c r="BZ23" s="23"/>
      <c r="CA23" s="23"/>
      <c r="CB23" s="23"/>
      <c r="CC23" s="23"/>
      <c r="CD23" s="23"/>
      <c r="CE23" s="23"/>
      <c r="CF23" s="23"/>
      <c r="CG23" s="23"/>
      <c r="CH23" s="23"/>
      <c r="CI23" s="23"/>
      <c r="CJ23" s="23"/>
      <c r="CK23" s="23"/>
      <c r="CL23" s="23"/>
      <c r="CM23" s="23"/>
      <c r="CN23" s="23"/>
      <c r="CO23" s="23"/>
      <c r="CP23" s="23"/>
      <c r="CQ23" s="23"/>
      <c r="CR23" s="23"/>
      <c r="CS23" s="23"/>
      <c r="CT23" s="23"/>
      <c r="CU23" s="23"/>
      <c r="CV23" s="23"/>
      <c r="CW23" s="23"/>
      <c r="CX23" s="23"/>
      <c r="CY23" s="23"/>
      <c r="CZ23" s="23"/>
      <c r="DA23" s="23"/>
      <c r="DB23" s="23"/>
      <c r="DC23" s="23"/>
      <c r="DD23" s="23"/>
      <c r="DE23" s="23"/>
      <c r="DF23" s="23"/>
      <c r="DG23" s="23"/>
      <c r="DH23" s="23"/>
      <c r="DI23" s="23"/>
      <c r="DJ23" s="23"/>
      <c r="DK23" s="23"/>
      <c r="DL23" s="23"/>
      <c r="DM23" s="23"/>
      <c r="DN23" s="23"/>
      <c r="DO23" s="23"/>
      <c r="DP23" s="23"/>
      <c r="DQ23" s="23"/>
      <c r="DR23" s="23"/>
      <c r="DS23" s="23"/>
      <c r="DT23" s="23"/>
      <c r="DU23" s="23"/>
      <c r="DV23" s="23"/>
      <c r="DW23" s="23"/>
      <c r="DX23" s="23"/>
      <c r="DY23" s="23"/>
      <c r="DZ23" s="23"/>
      <c r="EA23" s="23"/>
      <c r="EB23" s="23"/>
      <c r="EC23" s="23"/>
      <c r="ED23" s="23"/>
      <c r="EE23" s="23"/>
      <c r="EF23" s="23"/>
      <c r="EG23" s="23"/>
      <c r="EH23" s="23"/>
      <c r="EI23" s="23"/>
      <c r="EJ23" s="23"/>
      <c r="EK23" s="23"/>
      <c r="EL23" s="23"/>
      <c r="EM23" s="23"/>
      <c r="EN23" s="23"/>
      <c r="EO23" s="23"/>
      <c r="EP23" s="23"/>
      <c r="EQ23" s="23"/>
      <c r="ER23" s="23"/>
      <c r="ES23" s="23"/>
      <c r="ET23" s="23"/>
      <c r="EU23" s="23"/>
      <c r="EV23" s="23"/>
      <c r="EW23" s="23"/>
      <c r="EX23" s="23"/>
      <c r="EY23" s="23"/>
      <c r="EZ23" s="23"/>
      <c r="FA23" s="23"/>
      <c r="FB23" s="23"/>
      <c r="FC23" s="23"/>
      <c r="FD23" s="23"/>
      <c r="FE23" s="23"/>
      <c r="FF23" s="23"/>
      <c r="FG23" s="23"/>
      <c r="FH23" s="23"/>
      <c r="FI23" s="23"/>
      <c r="FJ23" s="23"/>
      <c r="FK23" s="23"/>
      <c r="FL23" s="23"/>
      <c r="FM23" s="23"/>
      <c r="FN23" s="23"/>
      <c r="FO23" s="23"/>
      <c r="FP23" s="23"/>
      <c r="FQ23" s="23"/>
      <c r="FR23" s="23"/>
      <c r="FS23" s="23"/>
      <c r="FT23" s="23"/>
      <c r="FU23" s="23"/>
      <c r="FV23" s="23"/>
      <c r="FW23" s="23"/>
      <c r="FX23" s="23"/>
      <c r="FY23" s="23"/>
      <c r="FZ23" s="23"/>
      <c r="GA23" s="23"/>
      <c r="GB23" s="23"/>
      <c r="GC23" s="23"/>
      <c r="GD23" s="23"/>
      <c r="GE23" s="23"/>
      <c r="GF23" s="23"/>
      <c r="GG23" s="23"/>
      <c r="GH23" s="23"/>
      <c r="GI23" s="23"/>
      <c r="GJ23" s="23"/>
      <c r="GK23" s="23"/>
      <c r="GL23" s="23"/>
      <c r="GM23" s="23"/>
      <c r="GN23" s="23"/>
      <c r="GO23" s="23"/>
      <c r="GP23" s="23"/>
      <c r="GQ23" s="23"/>
      <c r="GR23" s="23"/>
      <c r="GS23" s="23"/>
      <c r="GT23" s="23"/>
      <c r="GU23" s="23"/>
      <c r="GV23" s="23"/>
      <c r="GW23" s="23"/>
      <c r="GX23" s="23"/>
      <c r="GY23" s="23"/>
      <c r="GZ23" s="23"/>
      <c r="HA23" s="23"/>
      <c r="HB23" s="23"/>
      <c r="HC23" s="23"/>
      <c r="HD23" s="23"/>
      <c r="HE23" s="23"/>
      <c r="HF23" s="23"/>
    </row>
    <row r="24" spans="1:214" ht="9.9499999999999993" customHeight="1">
      <c r="P24" s="85"/>
      <c r="Q24" s="85"/>
      <c r="R24" s="85"/>
      <c r="S24" s="85"/>
      <c r="T24" s="85"/>
      <c r="U24" s="85"/>
    </row>
    <row r="25" spans="1:214" ht="9.9499999999999993" customHeight="1">
      <c r="A25" s="83"/>
      <c r="P25" s="85"/>
      <c r="Q25" s="85"/>
      <c r="R25" s="85"/>
      <c r="S25" s="85"/>
      <c r="T25" s="85"/>
      <c r="U25" s="85"/>
    </row>
    <row r="26" spans="1:214" ht="24" customHeight="1">
      <c r="A26" s="83"/>
      <c r="B26" s="5"/>
      <c r="C26" s="5"/>
      <c r="D26" s="5"/>
      <c r="E26" s="5"/>
      <c r="F26" s="2"/>
      <c r="G26" s="2"/>
      <c r="H26" s="2"/>
      <c r="I26" s="2"/>
    </row>
    <row r="27" spans="1:214" ht="24" customHeight="1">
      <c r="A27" s="344"/>
      <c r="B27" s="344"/>
      <c r="C27" s="344"/>
      <c r="D27" s="342"/>
      <c r="E27" s="342"/>
      <c r="F27" s="2"/>
      <c r="G27" s="2"/>
      <c r="H27" s="2"/>
      <c r="I27" s="2"/>
    </row>
    <row r="28" spans="1:214" ht="24" customHeight="1">
      <c r="A28" s="344"/>
      <c r="B28" s="344"/>
      <c r="C28" s="344"/>
      <c r="D28" s="342"/>
      <c r="E28" s="342"/>
      <c r="F28" s="2"/>
      <c r="G28" s="2"/>
      <c r="H28" s="2"/>
      <c r="I28" s="2"/>
    </row>
    <row r="29" spans="1:214" ht="24" customHeight="1">
      <c r="A29" s="82"/>
      <c r="B29" s="5"/>
      <c r="C29" s="5"/>
      <c r="D29" s="5"/>
      <c r="E29" s="5"/>
      <c r="F29" s="2"/>
      <c r="G29" s="2"/>
      <c r="H29" s="2"/>
      <c r="I29" s="2"/>
      <c r="P29" s="85"/>
      <c r="Q29" s="85"/>
      <c r="R29" s="85"/>
      <c r="S29" s="85"/>
      <c r="T29" s="85"/>
      <c r="U29" s="85"/>
    </row>
    <row r="30" spans="1:214" ht="24" customHeight="1">
      <c r="A30" s="83"/>
      <c r="B30" s="5"/>
      <c r="C30" s="5"/>
      <c r="D30" s="5"/>
      <c r="E30" s="5"/>
      <c r="F30" s="2"/>
      <c r="G30" s="2"/>
      <c r="H30" s="2"/>
      <c r="I30" s="2"/>
      <c r="P30" s="85"/>
      <c r="Q30" s="85"/>
      <c r="R30" s="85"/>
      <c r="S30" s="85"/>
      <c r="T30" s="85"/>
      <c r="U30" s="85"/>
    </row>
    <row r="31" spans="1:214" ht="24" customHeight="1">
      <c r="A31" s="84"/>
      <c r="B31" s="5"/>
      <c r="C31" s="5"/>
      <c r="D31" s="5"/>
      <c r="E31" s="5"/>
      <c r="F31" s="2"/>
      <c r="G31" s="2"/>
      <c r="H31" s="2"/>
      <c r="I31" s="2"/>
      <c r="P31" s="85"/>
      <c r="Q31" s="85"/>
      <c r="R31" s="85"/>
      <c r="S31" s="85"/>
      <c r="T31" s="85"/>
      <c r="U31" s="85"/>
    </row>
  </sheetData>
  <mergeCells count="19">
    <mergeCell ref="B18:E18"/>
    <mergeCell ref="B19:E19"/>
    <mergeCell ref="B20:E20"/>
    <mergeCell ref="A27:C27"/>
    <mergeCell ref="D27:E27"/>
    <mergeCell ref="A28:C28"/>
    <mergeCell ref="D28:E28"/>
    <mergeCell ref="B3:E3"/>
    <mergeCell ref="B10:E10"/>
    <mergeCell ref="A14:E14"/>
    <mergeCell ref="B15:E15"/>
    <mergeCell ref="B23:E23"/>
    <mergeCell ref="B11:E11"/>
    <mergeCell ref="B5:E5"/>
    <mergeCell ref="B4:E4"/>
    <mergeCell ref="B16:E16"/>
    <mergeCell ref="B17:E17"/>
    <mergeCell ref="B21:E21"/>
    <mergeCell ref="B22:E22"/>
  </mergeCells>
  <phoneticPr fontId="8" type="noConversion"/>
  <printOptions horizontalCentered="1"/>
  <pageMargins left="0.39370078740157483" right="0.39370078740157483" top="0.39370078740157483" bottom="0.39370078740157483" header="0.19685039370078741" footer="0.19685039370078741"/>
  <pageSetup paperSize="9" scale="64" orientation="landscape" r:id="rId1"/>
  <headerFooter alignWithMargins="0">
    <oddFooter>&amp;C&amp;"Arial,標準"( &amp;P / &amp;N )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History</vt:lpstr>
      <vt:lpstr>Note</vt:lpstr>
      <vt:lpstr>tooling</vt:lpstr>
      <vt:lpstr>floorplan</vt:lpstr>
      <vt:lpstr>floorplan2</vt:lpstr>
      <vt:lpstr>process</vt:lpstr>
      <vt:lpstr>cdbar_p</vt:lpstr>
      <vt:lpstr>reg_p</vt:lpstr>
      <vt:lpstr>photo</vt:lpstr>
      <vt:lpstr>photo2</vt:lpstr>
    </vt:vector>
  </TitlesOfParts>
  <Company>PSC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vernesia</dc:creator>
  <cp:lastModifiedBy>電腦輔助設計部 - 蔡佳芸</cp:lastModifiedBy>
  <cp:lastPrinted>2024-09-20T05:59:05Z</cp:lastPrinted>
  <dcterms:created xsi:type="dcterms:W3CDTF">2003-04-30T02:52:59Z</dcterms:created>
  <dcterms:modified xsi:type="dcterms:W3CDTF">2026-01-05T02:14:38Z</dcterms:modified>
</cp:coreProperties>
</file>