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0"/>
  <workbookPr/>
  <mc:AlternateContent xmlns:mc="http://schemas.openxmlformats.org/markup-compatibility/2006">
    <mc:Choice Requires="x15">
      <x15ac:absPath xmlns:x15ac="http://schemas.microsoft.com/office/spreadsheetml/2010/11/ac" url="D:\学v3.0\电学设计\版图体积计算\"/>
    </mc:Choice>
  </mc:AlternateContent>
  <xr:revisionPtr revIDLastSave="0" documentId="13_ncr:1_{A29E7986-3797-4D6A-9B7C-225609A0CDF0}" xr6:coauthVersionLast="36" xr6:coauthVersionMax="47" xr10:uidLastSave="{00000000-0000-0000-0000-000000000000}"/>
  <bookViews>
    <workbookView xWindow="0" yWindow="0" windowWidth="23040" windowHeight="9158" activeTab="1" xr2:uid="{00000000-000D-0000-FFFF-FFFF00000000}"/>
  </bookViews>
  <sheets>
    <sheet name="G26-DB13 " sheetId="17" r:id="rId1"/>
    <sheet name="G26-DB03" sheetId="16" r:id="rId2"/>
    <sheet name="DB2-5 " sheetId="6" r:id="rId3"/>
    <sheet name="DB1-1 " sheetId="8" r:id="rId4"/>
    <sheet name="DB2-1" sheetId="9" r:id="rId5"/>
    <sheet name="DB2-2" sheetId="10" r:id="rId6"/>
    <sheet name="DB2-3" sheetId="11" r:id="rId7"/>
    <sheet name="DB2-4" sheetId="12" r:id="rId8"/>
    <sheet name="DB4-1" sheetId="14" r:id="rId9"/>
    <sheet name="DB5-1" sheetId="15" r:id="rId10"/>
    <sheet name="Sheet1" sheetId="4" r:id="rId11"/>
  </sheets>
  <calcPr calcId="191029"/>
</workbook>
</file>

<file path=xl/calcChain.xml><?xml version="1.0" encoding="utf-8"?>
<calcChain xmlns="http://schemas.openxmlformats.org/spreadsheetml/2006/main">
  <c r="E27" i="16" l="1"/>
  <c r="H27" i="16" s="1"/>
  <c r="E27" i="17"/>
  <c r="E29" i="17"/>
  <c r="H29" i="17" s="1"/>
  <c r="E28" i="17"/>
  <c r="H28" i="17" s="1"/>
  <c r="H27" i="17"/>
  <c r="K1" i="17"/>
  <c r="H26" i="17"/>
  <c r="E25" i="17"/>
  <c r="H25" i="17" s="1"/>
  <c r="H24" i="17"/>
  <c r="E23" i="17"/>
  <c r="H23" i="17" s="1"/>
  <c r="E22" i="17"/>
  <c r="H22" i="17" s="1"/>
  <c r="H21" i="17"/>
  <c r="E19" i="17"/>
  <c r="E17" i="17"/>
  <c r="H17" i="17" s="1"/>
  <c r="E16" i="17"/>
  <c r="H16" i="17" s="1"/>
  <c r="H15" i="17"/>
  <c r="E13" i="17"/>
  <c r="H13" i="17" s="1"/>
  <c r="E12" i="17"/>
  <c r="H12" i="17" s="1"/>
  <c r="H11" i="17"/>
  <c r="H9" i="17"/>
  <c r="E8" i="17"/>
  <c r="H8" i="17" s="1"/>
  <c r="E7" i="17"/>
  <c r="H7" i="17" s="1"/>
  <c r="E6" i="17"/>
  <c r="H6" i="17" s="1"/>
  <c r="H5" i="17"/>
  <c r="E25" i="16"/>
  <c r="H25" i="16" s="1"/>
  <c r="H24" i="16"/>
  <c r="E17" i="16"/>
  <c r="H17" i="16" s="1"/>
  <c r="E16" i="16"/>
  <c r="H16" i="16" s="1"/>
  <c r="H15" i="16"/>
  <c r="E13" i="16"/>
  <c r="E12" i="16"/>
  <c r="H12" i="16" s="1"/>
  <c r="H11" i="16"/>
  <c r="K1" i="16"/>
  <c r="H18" i="16" s="1"/>
  <c r="H26" i="16"/>
  <c r="E23" i="16"/>
  <c r="H23" i="16" s="1"/>
  <c r="E22" i="16"/>
  <c r="H22" i="16" s="1"/>
  <c r="H21" i="16"/>
  <c r="E19" i="16"/>
  <c r="H13" i="16"/>
  <c r="H9" i="16"/>
  <c r="E8" i="16"/>
  <c r="H8" i="16" s="1"/>
  <c r="E7" i="16"/>
  <c r="H7" i="16" s="1"/>
  <c r="E6" i="16"/>
  <c r="H6" i="16" s="1"/>
  <c r="H5" i="16"/>
  <c r="E28" i="16" l="1"/>
  <c r="H28" i="16" s="1"/>
  <c r="E29" i="16"/>
  <c r="H29" i="16" s="1"/>
  <c r="H19" i="17"/>
  <c r="E4" i="17"/>
  <c r="H4" i="17"/>
  <c r="H20" i="17"/>
  <c r="H10" i="17"/>
  <c r="H14" i="17"/>
  <c r="E2" i="17"/>
  <c r="H18" i="17"/>
  <c r="H4" i="16"/>
  <c r="H10" i="16"/>
  <c r="H14" i="16"/>
  <c r="H19" i="16"/>
  <c r="E2" i="16"/>
  <c r="H20" i="16"/>
  <c r="E4" i="16"/>
  <c r="H14" i="15"/>
  <c r="K1" i="15"/>
  <c r="H20" i="15"/>
  <c r="E19" i="15"/>
  <c r="H19" i="15" s="1"/>
  <c r="E18" i="15"/>
  <c r="H18" i="15" s="1"/>
  <c r="H17" i="15"/>
  <c r="E15" i="15"/>
  <c r="H13" i="15"/>
  <c r="H11" i="15"/>
  <c r="H9" i="15"/>
  <c r="E8" i="15"/>
  <c r="H8" i="15" s="1"/>
  <c r="E7" i="15"/>
  <c r="H7" i="15" s="1"/>
  <c r="E6" i="15"/>
  <c r="H6" i="15" s="1"/>
  <c r="H5" i="15"/>
  <c r="H10" i="14"/>
  <c r="K1" i="14"/>
  <c r="H20" i="14"/>
  <c r="E19" i="14"/>
  <c r="H19" i="14" s="1"/>
  <c r="E18" i="14"/>
  <c r="H18" i="14" s="1"/>
  <c r="H17" i="14"/>
  <c r="E15" i="14"/>
  <c r="H13" i="14"/>
  <c r="H11" i="14"/>
  <c r="H9" i="14"/>
  <c r="E8" i="14"/>
  <c r="H8" i="14" s="1"/>
  <c r="E7" i="14"/>
  <c r="H7" i="14" s="1"/>
  <c r="E6" i="14"/>
  <c r="H6" i="14" s="1"/>
  <c r="H5" i="14"/>
  <c r="H4" i="14"/>
  <c r="H3" i="17" l="1"/>
  <c r="H2" i="17"/>
  <c r="H2" i="16"/>
  <c r="H3" i="16"/>
  <c r="H15" i="15"/>
  <c r="E2" i="15"/>
  <c r="H16" i="15"/>
  <c r="E4" i="15"/>
  <c r="H4" i="15"/>
  <c r="H10" i="15"/>
  <c r="H12" i="15"/>
  <c r="H12" i="14"/>
  <c r="H14" i="14"/>
  <c r="H15" i="14"/>
  <c r="H16" i="14"/>
  <c r="E2" i="14"/>
  <c r="E4" i="14"/>
  <c r="K1" i="12"/>
  <c r="H16" i="12" s="1"/>
  <c r="H20" i="12"/>
  <c r="E19" i="12"/>
  <c r="H19" i="12" s="1"/>
  <c r="H18" i="12"/>
  <c r="E18" i="12"/>
  <c r="H17" i="12"/>
  <c r="E15" i="12"/>
  <c r="H13" i="12"/>
  <c r="H12" i="12"/>
  <c r="H11" i="12"/>
  <c r="H9" i="12"/>
  <c r="E8" i="12"/>
  <c r="H8" i="12" s="1"/>
  <c r="H7" i="12"/>
  <c r="E7" i="12"/>
  <c r="E6" i="12"/>
  <c r="H6" i="12" s="1"/>
  <c r="H5" i="12"/>
  <c r="H4" i="12"/>
  <c r="E4" i="12"/>
  <c r="H10" i="12"/>
  <c r="H3" i="15" l="1"/>
  <c r="H2" i="15"/>
  <c r="H3" i="14"/>
  <c r="H2" i="14"/>
  <c r="H14" i="12"/>
  <c r="H15" i="12"/>
  <c r="E2" i="12"/>
  <c r="H3" i="12" l="1"/>
  <c r="H2" i="12"/>
  <c r="E4" i="11" l="1"/>
  <c r="E6" i="11"/>
  <c r="E7" i="11"/>
  <c r="H7" i="11" s="1"/>
  <c r="E8" i="11"/>
  <c r="H8" i="11" s="1"/>
  <c r="E15" i="11"/>
  <c r="H15" i="11" s="1"/>
  <c r="E18" i="11"/>
  <c r="H18" i="11" s="1"/>
  <c r="E19" i="11"/>
  <c r="H20" i="11"/>
  <c r="H19" i="11"/>
  <c r="H17" i="11"/>
  <c r="H16" i="11"/>
  <c r="H13" i="11"/>
  <c r="H11" i="11"/>
  <c r="H9" i="11"/>
  <c r="H6" i="11"/>
  <c r="H5" i="11"/>
  <c r="K1" i="11"/>
  <c r="H4" i="11" s="1"/>
  <c r="H20" i="10"/>
  <c r="E19" i="10"/>
  <c r="H19" i="10" s="1"/>
  <c r="E18" i="10"/>
  <c r="H18" i="10" s="1"/>
  <c r="H17" i="10"/>
  <c r="H16" i="10"/>
  <c r="E15" i="10"/>
  <c r="H13" i="10"/>
  <c r="H11" i="10"/>
  <c r="H9" i="10"/>
  <c r="E8" i="10"/>
  <c r="H8" i="10" s="1"/>
  <c r="E7" i="10"/>
  <c r="H7" i="10" s="1"/>
  <c r="E6" i="10"/>
  <c r="H6" i="10" s="1"/>
  <c r="H5" i="10"/>
  <c r="K1" i="10"/>
  <c r="E2" i="8"/>
  <c r="E2" i="9"/>
  <c r="H3" i="9" s="1"/>
  <c r="K1" i="9"/>
  <c r="H10" i="9" s="1"/>
  <c r="H20" i="9"/>
  <c r="E19" i="9"/>
  <c r="H19" i="9" s="1"/>
  <c r="E18" i="9"/>
  <c r="H18" i="9" s="1"/>
  <c r="H17" i="9"/>
  <c r="E15" i="9"/>
  <c r="H13" i="9"/>
  <c r="H11" i="9"/>
  <c r="H9" i="9"/>
  <c r="E8" i="9"/>
  <c r="H8" i="9" s="1"/>
  <c r="E7" i="9"/>
  <c r="H7" i="9" s="1"/>
  <c r="H6" i="9"/>
  <c r="E6" i="9"/>
  <c r="H5" i="9"/>
  <c r="H2" i="9"/>
  <c r="E19" i="8"/>
  <c r="E18" i="8"/>
  <c r="E15" i="8"/>
  <c r="E8" i="8"/>
  <c r="E7" i="8"/>
  <c r="E6" i="8"/>
  <c r="E4" i="8"/>
  <c r="H12" i="11" l="1"/>
  <c r="H14" i="11"/>
  <c r="E2" i="11"/>
  <c r="H10" i="11"/>
  <c r="H15" i="10"/>
  <c r="E2" i="10"/>
  <c r="H10" i="10"/>
  <c r="E4" i="10"/>
  <c r="H12" i="10"/>
  <c r="H4" i="10"/>
  <c r="H14" i="10"/>
  <c r="H15" i="9"/>
  <c r="H16" i="9"/>
  <c r="H12" i="9"/>
  <c r="E4" i="9"/>
  <c r="H14" i="9"/>
  <c r="H4" i="9"/>
  <c r="H3" i="8"/>
  <c r="H3" i="6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2" i="8"/>
  <c r="H2" i="6"/>
  <c r="H7" i="6"/>
  <c r="H8" i="6"/>
  <c r="H6" i="6"/>
  <c r="H3" i="11" l="1"/>
  <c r="H2" i="11"/>
  <c r="H3" i="10"/>
  <c r="H2" i="10"/>
  <c r="H20" i="6"/>
  <c r="H19" i="6"/>
  <c r="H18" i="6"/>
  <c r="H17" i="6"/>
  <c r="H16" i="6"/>
  <c r="H15" i="6"/>
  <c r="H14" i="6"/>
  <c r="H13" i="6"/>
  <c r="H12" i="6"/>
  <c r="H11" i="6"/>
  <c r="H10" i="6"/>
  <c r="H9" i="6"/>
  <c r="H5" i="6"/>
  <c r="H4" i="6"/>
</calcChain>
</file>

<file path=xl/sharedStrings.xml><?xml version="1.0" encoding="utf-8"?>
<sst xmlns="http://schemas.openxmlformats.org/spreadsheetml/2006/main" count="1272" uniqueCount="109">
  <si>
    <t>D1-1</t>
  </si>
  <si>
    <t>D1-2</t>
  </si>
  <si>
    <t>D2-1</t>
  </si>
  <si>
    <t>D2-2</t>
  </si>
  <si>
    <t>D2-3</t>
  </si>
  <si>
    <t>D2-4</t>
  </si>
  <si>
    <t>D2-5</t>
  </si>
  <si>
    <t>D2-6</t>
  </si>
  <si>
    <t>D2-7</t>
  </si>
  <si>
    <t>D2-8</t>
  </si>
  <si>
    <t>D2-9</t>
  </si>
  <si>
    <t>D2-10</t>
  </si>
  <si>
    <t>D2-11</t>
  </si>
  <si>
    <t>sizeX(μm)</t>
  </si>
  <si>
    <t>sizeY(μm)</t>
  </si>
  <si>
    <t>尺寸信息</t>
  </si>
  <si>
    <t>需求：</t>
  </si>
  <si>
    <t>shot内layout排版方式见右侧图</t>
  </si>
  <si>
    <t>其他信息</t>
  </si>
  <si>
    <t>结合wafer shot frame，输出完整的不同规格排版（DXF文件或gds文件），以便切割工站拟定切割方案.</t>
  </si>
  <si>
    <t>shot 与shot之间距离为切割道宽度 60μm</t>
  </si>
  <si>
    <t>Die 与Die之间切割道宽度 60μm</t>
  </si>
  <si>
    <t>排版以wafer中心原点向外辐射排布</t>
  </si>
  <si>
    <t>其他所需信息见其他sheet</t>
  </si>
  <si>
    <t>D3-1</t>
    <phoneticPr fontId="2" type="noConversion"/>
  </si>
  <si>
    <t>D4-1</t>
    <phoneticPr fontId="2" type="noConversion"/>
  </si>
  <si>
    <t>D5-1</t>
    <phoneticPr fontId="2" type="noConversion"/>
  </si>
  <si>
    <t xml:space="preserve"> </t>
    <phoneticPr fontId="2" type="noConversion"/>
  </si>
  <si>
    <t>um3</t>
    <phoneticPr fontId="3" type="noConversion"/>
  </si>
  <si>
    <t>SiN</t>
    <phoneticPr fontId="3" type="noConversion"/>
  </si>
  <si>
    <t>um2</t>
    <phoneticPr fontId="3" type="noConversion"/>
  </si>
  <si>
    <t>ILD Oxide(SiO2)</t>
    <phoneticPr fontId="3" type="noConversion"/>
  </si>
  <si>
    <t>Oxide/SiN/Oxide(SiO2/SiN/SiO2)</t>
    <phoneticPr fontId="3" type="noConversion"/>
  </si>
  <si>
    <t>AlCu(A)</t>
    <phoneticPr fontId="3" type="noConversion"/>
  </si>
  <si>
    <t>VIA(SiO2)</t>
    <phoneticPr fontId="3" type="noConversion"/>
  </si>
  <si>
    <t>SiO2</t>
    <phoneticPr fontId="3" type="noConversion"/>
  </si>
  <si>
    <t>Bump(TiW/Au/Au)</t>
    <phoneticPr fontId="3" type="noConversion"/>
  </si>
  <si>
    <t>TiW</t>
    <phoneticPr fontId="3" type="noConversion"/>
  </si>
  <si>
    <t>TiW(A)</t>
    <phoneticPr fontId="3" type="noConversion"/>
  </si>
  <si>
    <t>Au 1</t>
    <phoneticPr fontId="3" type="noConversion"/>
  </si>
  <si>
    <t>Au 2</t>
    <phoneticPr fontId="3" type="noConversion"/>
  </si>
  <si>
    <t>Au 1(A)</t>
    <phoneticPr fontId="3" type="noConversion"/>
  </si>
  <si>
    <t>Au 2(A)</t>
    <phoneticPr fontId="3" type="noConversion"/>
  </si>
  <si>
    <t>AuSn</t>
    <phoneticPr fontId="3" type="noConversion"/>
  </si>
  <si>
    <t>AuSn(A)</t>
    <phoneticPr fontId="3" type="noConversion"/>
  </si>
  <si>
    <t>DB2-5</t>
    <phoneticPr fontId="3" type="noConversion"/>
  </si>
  <si>
    <t>多晶硅</t>
    <phoneticPr fontId="3" type="noConversion"/>
  </si>
  <si>
    <t>AlCu</t>
    <phoneticPr fontId="3" type="noConversion"/>
  </si>
  <si>
    <t>SiO2 1</t>
    <phoneticPr fontId="3" type="noConversion"/>
  </si>
  <si>
    <t>SiO2 2</t>
    <phoneticPr fontId="3" type="noConversion"/>
  </si>
  <si>
    <t>聚酰亚胺</t>
  </si>
  <si>
    <t>Si</t>
    <phoneticPr fontId="3" type="noConversion"/>
  </si>
  <si>
    <t>材料</t>
    <phoneticPr fontId="3" type="noConversion"/>
  </si>
  <si>
    <t>膜层体积</t>
    <phoneticPr fontId="3" type="noConversion"/>
  </si>
  <si>
    <t>plate总</t>
    <phoneticPr fontId="3" type="noConversion"/>
  </si>
  <si>
    <t>Poly 1 (A)</t>
    <phoneticPr fontId="3" type="noConversion"/>
  </si>
  <si>
    <t>BP(A)</t>
    <phoneticPr fontId="3" type="noConversion"/>
  </si>
  <si>
    <t>trench(A)</t>
    <phoneticPr fontId="3" type="noConversion"/>
  </si>
  <si>
    <t>厚度h(um）</t>
    <phoneticPr fontId="3" type="noConversion"/>
  </si>
  <si>
    <t>剩余Si(V)：</t>
    <phoneticPr fontId="3" type="noConversion"/>
  </si>
  <si>
    <t>Isolation Oxide（SIO2）</t>
    <phoneticPr fontId="3" type="noConversion"/>
  </si>
  <si>
    <t>剩余SiO2：</t>
    <phoneticPr fontId="3" type="noConversion"/>
  </si>
  <si>
    <t>剩余BP(V)：</t>
    <phoneticPr fontId="3" type="noConversion"/>
  </si>
  <si>
    <t>剩余SiO2 1(V)：</t>
    <phoneticPr fontId="3" type="noConversion"/>
  </si>
  <si>
    <t>剩余SiN(V)：</t>
    <phoneticPr fontId="3" type="noConversion"/>
  </si>
  <si>
    <t>剩余SiO2 2(V)：</t>
    <phoneticPr fontId="3" type="noConversion"/>
  </si>
  <si>
    <t>剩余Poly 1(V)：</t>
    <phoneticPr fontId="3" type="noConversion"/>
  </si>
  <si>
    <t>剩余SiO2(V)：</t>
    <phoneticPr fontId="3" type="noConversion"/>
  </si>
  <si>
    <t>Metal 1（AlCu）</t>
    <phoneticPr fontId="3" type="noConversion"/>
  </si>
  <si>
    <t>剩余AlCu(V)：</t>
    <phoneticPr fontId="3" type="noConversion"/>
  </si>
  <si>
    <t>Metal 2（AlCu）</t>
    <phoneticPr fontId="3" type="noConversion"/>
  </si>
  <si>
    <t>PV（SIO2/SiN）</t>
    <phoneticPr fontId="3" type="noConversion"/>
  </si>
  <si>
    <t>剩余TIW(V)：</t>
    <phoneticPr fontId="3" type="noConversion"/>
  </si>
  <si>
    <t>剩余Au(V)：</t>
    <phoneticPr fontId="3" type="noConversion"/>
  </si>
  <si>
    <t>剩余AuSn(V)：</t>
    <phoneticPr fontId="3" type="noConversion"/>
  </si>
  <si>
    <t>plate总(A)</t>
    <phoneticPr fontId="3" type="noConversion"/>
  </si>
  <si>
    <t>Bottom Poly(多晶硅 电阻率0.711mΩ·cm)</t>
    <phoneticPr fontId="3" type="noConversion"/>
  </si>
  <si>
    <t>Poly 1(多晶硅 电阻率0.711 mΩ·cm)</t>
    <phoneticPr fontId="3" type="noConversion"/>
  </si>
  <si>
    <t>SiO2(A)(刻蚀)</t>
    <phoneticPr fontId="3" type="noConversion"/>
  </si>
  <si>
    <t>PI(聚酰亚胺)</t>
    <phoneticPr fontId="3" type="noConversion"/>
  </si>
  <si>
    <t>聚酰亚胺(A)(剥离)</t>
    <phoneticPr fontId="3" type="noConversion"/>
  </si>
  <si>
    <t>剩余聚酰亚胺(V)：</t>
    <phoneticPr fontId="3" type="noConversion"/>
  </si>
  <si>
    <t>膜层上表面积</t>
    <phoneticPr fontId="3" type="noConversion"/>
  </si>
  <si>
    <t>Trench（Si）</t>
    <phoneticPr fontId="3" type="noConversion"/>
  </si>
  <si>
    <t>DB1-1</t>
    <phoneticPr fontId="3" type="noConversion"/>
  </si>
  <si>
    <t>DB2-1</t>
    <phoneticPr fontId="3" type="noConversion"/>
  </si>
  <si>
    <t>DB2-2</t>
    <phoneticPr fontId="3" type="noConversion"/>
  </si>
  <si>
    <t>DB2-3</t>
    <phoneticPr fontId="3" type="noConversion"/>
  </si>
  <si>
    <t>DB2-4</t>
    <phoneticPr fontId="3" type="noConversion"/>
  </si>
  <si>
    <t>DB4-1</t>
    <phoneticPr fontId="3" type="noConversion"/>
  </si>
  <si>
    <t>DB5-1</t>
    <phoneticPr fontId="3" type="noConversion"/>
  </si>
  <si>
    <t>硅衬底（Si）电阻率2000000mΩ·cm)</t>
    <phoneticPr fontId="3" type="noConversion"/>
  </si>
  <si>
    <t>TiN</t>
    <phoneticPr fontId="3" type="noConversion"/>
  </si>
  <si>
    <t>Ti</t>
    <phoneticPr fontId="3" type="noConversion"/>
  </si>
  <si>
    <t>剩余Ti(V)：</t>
    <phoneticPr fontId="3" type="noConversion"/>
  </si>
  <si>
    <t>剩余TiN(V)：</t>
    <phoneticPr fontId="3" type="noConversion"/>
  </si>
  <si>
    <t>Metal 1（Ti/AlCu/TiN）</t>
    <phoneticPr fontId="3" type="noConversion"/>
  </si>
  <si>
    <t>Metal 2（Ti/AlCu/TiN）</t>
    <phoneticPr fontId="3" type="noConversion"/>
  </si>
  <si>
    <t>Finishing（TiPtAu）</t>
    <phoneticPr fontId="3" type="noConversion"/>
  </si>
  <si>
    <t>Pt</t>
    <phoneticPr fontId="3" type="noConversion"/>
  </si>
  <si>
    <t>Au</t>
    <phoneticPr fontId="3" type="noConversion"/>
  </si>
  <si>
    <t>TiPt</t>
    <phoneticPr fontId="3" type="noConversion"/>
  </si>
  <si>
    <t>剩余Pt(V)：</t>
    <phoneticPr fontId="3" type="noConversion"/>
  </si>
  <si>
    <t>剩余TI(V)：</t>
    <phoneticPr fontId="3" type="noConversion"/>
  </si>
  <si>
    <t>G26-DB13</t>
    <phoneticPr fontId="3" type="noConversion"/>
  </si>
  <si>
    <t>G26-DB03</t>
    <phoneticPr fontId="3" type="noConversion"/>
  </si>
  <si>
    <t>背金（TiNiAu）</t>
    <phoneticPr fontId="3" type="noConversion"/>
  </si>
  <si>
    <t>Ni</t>
    <phoneticPr fontId="3" type="noConversion"/>
  </si>
  <si>
    <t>剩余Ni(V)：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</si>
</sst>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$&quot;* #,##0_-;\-&quot;$&quot;* #,##0_-;_-&quot;$&quot;* &quot;-&quot;_-;_-@_-"/>
    <numFmt numFmtId="177" formatCode="_-* #,##0_-;\-* #,##0_-;_-* &quot;-&quot;_-;_-@_-"/>
    <numFmt numFmtId="178" formatCode="_-&quot;$&quot;* #,##0.00_-;\-&quot;$&quot;* #,##0.00_-;_-&quot;$&quot;* &quot;-&quot;??_-;_-@_-"/>
    <numFmt numFmtId="179" formatCode="_-* #,##0.00_-;\-* #,##0.00_-;_-* &quot;-&quot;??_-;_-@_-"/>
  </numFmts>
  <fonts count="9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宋体"/>
      <family val="3"/>
      <charset val="134"/>
    </font>
    <font>
      <b/>
      <sz val="11"/>
      <name val="Arial"/>
      <family val="2"/>
    </font>
    <font>
      <b/>
      <sz val="16"/>
      <name val="Microsoft YaHei UI"/>
      <family val="2"/>
      <charset val="134"/>
    </font>
    <font>
      <b/>
      <sz val="11"/>
      <name val="Microsoft YaHei UI"/>
      <family val="2"/>
      <charset val="134"/>
    </font>
    <font>
      <sz val="10"/>
      <name val="Microsoft YaHei UI"/>
      <family val="2"/>
      <charset val="134"/>
    </font>
    <font>
      <b/>
      <sz val="10"/>
      <name val="Microsoft YaHei U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7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Continuous"/>
    </xf>
    <xf numFmtId="0" fontId="0" fillId="2" borderId="0" xfId="0" applyFill="1" applyAlignment="1">
      <alignment horizontal="centerContinuous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Continuous" vertical="center" wrapText="1"/>
    </xf>
    <xf numFmtId="0" fontId="0" fillId="0" borderId="0" xfId="0"/>
    <xf numFmtId="0" fontId="0" fillId="2" borderId="0" xfId="0" applyFill="1" applyAlignment="1">
      <alignment horizontal="centerContinuous" vertical="center"/>
    </xf>
    <xf numFmtId="0" fontId="0" fillId="2" borderId="0" xfId="0" applyFill="1" applyAlignment="1">
      <alignment horizontal="centerContinuous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Percent" xfId="1" xr:uid="{00000000-0005-0000-0000-000005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209549</xdr:colOff>
      <xdr:row>1</xdr:row>
      <xdr:rowOff>61913</xdr:rowOff>
    </xdr:from>
    <xdr:to>
      <xdr:col>13</xdr:col>
      <xdr:colOff>31217</xdr:colOff>
      <xdr:row>27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661C1E-237F-4F2A-8AD5-CAE7A9C57B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0449" t="12386" b="1521"/>
        <a:stretch/>
      </xdr:blipFill>
      <xdr:spPr>
        <a:xfrm>
          <a:off x="4148137" y="223838"/>
          <a:ext cx="5003268" cy="4733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0192-B660-4E72-85A7-2F3A0988E68A}">
  <dimension ref="A1:K29"/>
  <sheetViews>
    <sheetView zoomScale="85" zoomScaleNormal="85" workbookViewId="0">
      <pane ySplit="1" topLeftCell="A2" activePane="bottomLeft" state="frozen"/>
      <selection pane="bottomLeft" activeCell="D8" sqref="D8"/>
    </sheetView>
  </sheetViews>
  <sheetFormatPr defaultColWidth="15.796875" defaultRowHeight="40.049999999999997" customHeight="1" x14ac:dyDescent="0.35"/>
  <cols>
    <col min="1" max="1" width="41" style="12" customWidth="1"/>
    <col min="2" max="2" width="15.796875" style="10"/>
    <col min="3" max="3" width="19.6640625" style="10" customWidth="1"/>
    <col min="4" max="4" width="17.46484375" style="10" customWidth="1"/>
    <col min="5" max="5" width="15.796875" style="10"/>
    <col min="6" max="6" width="13.33203125" style="10" customWidth="1"/>
    <col min="7" max="7" width="17.19921875" style="10" customWidth="1"/>
    <col min="8" max="16384" width="15.796875" style="10"/>
  </cols>
  <sheetData>
    <row r="1" spans="1:11" ht="40.049999999999997" customHeight="1" x14ac:dyDescent="0.35">
      <c r="A1" s="13" t="s">
        <v>104</v>
      </c>
      <c r="B1" s="22" t="s">
        <v>52</v>
      </c>
      <c r="C1" s="22" t="s">
        <v>58</v>
      </c>
      <c r="D1" s="27" t="s">
        <v>82</v>
      </c>
      <c r="E1" s="27"/>
      <c r="F1" s="27"/>
      <c r="G1" s="27" t="s">
        <v>53</v>
      </c>
      <c r="H1" s="27"/>
      <c r="I1" s="27"/>
      <c r="J1" s="22" t="s">
        <v>54</v>
      </c>
      <c r="K1" s="22">
        <f>1050*1600</f>
        <v>1680000</v>
      </c>
    </row>
    <row r="2" spans="1:11" ht="40.049999999999997" customHeight="1" x14ac:dyDescent="0.35">
      <c r="A2" s="23" t="s">
        <v>91</v>
      </c>
      <c r="B2" s="24" t="s">
        <v>51</v>
      </c>
      <c r="C2" s="24">
        <v>410</v>
      </c>
      <c r="D2" s="24" t="s">
        <v>75</v>
      </c>
      <c r="E2" s="24">
        <f>K1</f>
        <v>1680000</v>
      </c>
      <c r="F2" s="24" t="s">
        <v>30</v>
      </c>
      <c r="G2" s="25" t="s">
        <v>59</v>
      </c>
      <c r="H2" s="25">
        <f>E2*C2</f>
        <v>688800000</v>
      </c>
      <c r="I2" s="25" t="s">
        <v>28</v>
      </c>
      <c r="J2" s="17"/>
      <c r="K2" s="17"/>
    </row>
    <row r="3" spans="1:11" ht="40.049999999999997" customHeight="1" x14ac:dyDescent="0.35">
      <c r="A3" s="23" t="s">
        <v>83</v>
      </c>
      <c r="B3" s="24" t="s">
        <v>51</v>
      </c>
      <c r="C3" s="24">
        <v>40</v>
      </c>
      <c r="D3" s="24" t="s">
        <v>57</v>
      </c>
      <c r="E3" s="24">
        <v>110207</v>
      </c>
      <c r="F3" s="24" t="s">
        <v>30</v>
      </c>
      <c r="G3" s="25" t="s">
        <v>59</v>
      </c>
      <c r="H3" s="25">
        <f>(E2-E3)*C3</f>
        <v>62791720</v>
      </c>
      <c r="I3" s="25" t="s">
        <v>28</v>
      </c>
      <c r="J3" s="17"/>
      <c r="K3" s="17"/>
    </row>
    <row r="4" spans="1:11" ht="40.049999999999997" customHeight="1" x14ac:dyDescent="0.35">
      <c r="A4" s="23" t="s">
        <v>60</v>
      </c>
      <c r="B4" s="24" t="s">
        <v>35</v>
      </c>
      <c r="C4" s="24">
        <v>0.03</v>
      </c>
      <c r="D4" s="24" t="s">
        <v>75</v>
      </c>
      <c r="E4" s="24">
        <f>K1</f>
        <v>1680000</v>
      </c>
      <c r="F4" s="24" t="s">
        <v>30</v>
      </c>
      <c r="G4" s="25" t="s">
        <v>61</v>
      </c>
      <c r="H4" s="25">
        <f>C4*K1</f>
        <v>50400</v>
      </c>
      <c r="I4" s="25" t="s">
        <v>28</v>
      </c>
      <c r="J4" s="17"/>
      <c r="K4" s="17"/>
    </row>
    <row r="5" spans="1:11" ht="49.8" customHeight="1" x14ac:dyDescent="0.35">
      <c r="A5" s="23" t="s">
        <v>76</v>
      </c>
      <c r="B5" s="24" t="s">
        <v>46</v>
      </c>
      <c r="C5" s="24">
        <v>0.3</v>
      </c>
      <c r="D5" s="24" t="s">
        <v>56</v>
      </c>
      <c r="E5" s="24">
        <v>630900</v>
      </c>
      <c r="F5" s="24" t="s">
        <v>30</v>
      </c>
      <c r="G5" s="25" t="s">
        <v>62</v>
      </c>
      <c r="H5" s="25">
        <f>(E5)*C5</f>
        <v>189270</v>
      </c>
      <c r="I5" s="25" t="s">
        <v>28</v>
      </c>
      <c r="J5" s="17"/>
      <c r="K5" s="17"/>
    </row>
    <row r="6" spans="1:11" ht="40.049999999999997" customHeight="1" x14ac:dyDescent="0.35">
      <c r="A6" s="26" t="s">
        <v>32</v>
      </c>
      <c r="B6" s="24" t="s">
        <v>48</v>
      </c>
      <c r="C6" s="24">
        <v>3.0000000000000001E-3</v>
      </c>
      <c r="D6" s="24" t="s">
        <v>54</v>
      </c>
      <c r="E6" s="24">
        <f>E5</f>
        <v>630900</v>
      </c>
      <c r="F6" s="24" t="s">
        <v>30</v>
      </c>
      <c r="G6" s="25" t="s">
        <v>63</v>
      </c>
      <c r="H6" s="25">
        <f>C6*E6</f>
        <v>1892.7</v>
      </c>
      <c r="I6" s="25" t="s">
        <v>28</v>
      </c>
      <c r="J6" s="17"/>
      <c r="K6" s="17"/>
    </row>
    <row r="7" spans="1:11" ht="40.049999999999997" customHeight="1" x14ac:dyDescent="0.35">
      <c r="A7" s="26"/>
      <c r="B7" s="24" t="s">
        <v>29</v>
      </c>
      <c r="C7" s="24">
        <v>1.7999999999999999E-2</v>
      </c>
      <c r="D7" s="24" t="s">
        <v>54</v>
      </c>
      <c r="E7" s="24">
        <f>E5</f>
        <v>630900</v>
      </c>
      <c r="F7" s="24" t="s">
        <v>30</v>
      </c>
      <c r="G7" s="25" t="s">
        <v>64</v>
      </c>
      <c r="H7" s="25">
        <f t="shared" ref="H7:H8" si="0">C7*E7</f>
        <v>11356.199999999999</v>
      </c>
      <c r="I7" s="25" t="s">
        <v>28</v>
      </c>
      <c r="J7" s="17"/>
      <c r="K7" s="17"/>
    </row>
    <row r="8" spans="1:11" ht="40.049999999999997" customHeight="1" x14ac:dyDescent="0.35">
      <c r="A8" s="26"/>
      <c r="B8" s="24" t="s">
        <v>49</v>
      </c>
      <c r="C8" s="24">
        <v>6.0000000000000001E-3</v>
      </c>
      <c r="D8" s="24" t="s">
        <v>54</v>
      </c>
      <c r="E8" s="24">
        <f>E5</f>
        <v>630900</v>
      </c>
      <c r="F8" s="24" t="s">
        <v>30</v>
      </c>
      <c r="G8" s="25" t="s">
        <v>65</v>
      </c>
      <c r="H8" s="25">
        <f t="shared" si="0"/>
        <v>3785.4</v>
      </c>
      <c r="I8" s="25" t="s">
        <v>28</v>
      </c>
      <c r="J8" s="17"/>
      <c r="K8" s="17"/>
    </row>
    <row r="9" spans="1:11" ht="51" customHeight="1" x14ac:dyDescent="0.35">
      <c r="A9" s="23" t="s">
        <v>77</v>
      </c>
      <c r="B9" s="24" t="s">
        <v>46</v>
      </c>
      <c r="C9" s="24">
        <v>0.3</v>
      </c>
      <c r="D9" s="24" t="s">
        <v>55</v>
      </c>
      <c r="E9" s="24">
        <v>240087</v>
      </c>
      <c r="F9" s="24" t="s">
        <v>30</v>
      </c>
      <c r="G9" s="25" t="s">
        <v>66</v>
      </c>
      <c r="H9" s="25">
        <f>(E9)*C9</f>
        <v>72026.099999999991</v>
      </c>
      <c r="I9" s="25" t="s">
        <v>28</v>
      </c>
      <c r="J9" s="17"/>
      <c r="K9" s="17"/>
    </row>
    <row r="10" spans="1:11" ht="40.049999999999997" customHeight="1" x14ac:dyDescent="0.35">
      <c r="A10" s="23" t="s">
        <v>31</v>
      </c>
      <c r="B10" s="24" t="s">
        <v>35</v>
      </c>
      <c r="C10" s="24">
        <v>0.6</v>
      </c>
      <c r="D10" s="24" t="s">
        <v>78</v>
      </c>
      <c r="E10" s="24">
        <v>13635</v>
      </c>
      <c r="F10" s="24" t="s">
        <v>30</v>
      </c>
      <c r="G10" s="25" t="s">
        <v>67</v>
      </c>
      <c r="H10" s="25">
        <f>(K1-E10)*C10</f>
        <v>999819</v>
      </c>
      <c r="I10" s="25" t="s">
        <v>28</v>
      </c>
      <c r="J10" s="17"/>
      <c r="K10" s="17"/>
    </row>
    <row r="11" spans="1:11" ht="40.049999999999997" customHeight="1" x14ac:dyDescent="0.35">
      <c r="A11" s="26" t="s">
        <v>96</v>
      </c>
      <c r="B11" s="24" t="s">
        <v>93</v>
      </c>
      <c r="C11" s="24">
        <v>0.05</v>
      </c>
      <c r="D11" s="24" t="s">
        <v>93</v>
      </c>
      <c r="E11" s="24">
        <v>628083</v>
      </c>
      <c r="F11" s="24" t="s">
        <v>30</v>
      </c>
      <c r="G11" s="25" t="s">
        <v>94</v>
      </c>
      <c r="H11" s="25">
        <f t="shared" ref="H11:H12" si="1">E11*C11</f>
        <v>31404.15</v>
      </c>
      <c r="I11" s="25" t="s">
        <v>28</v>
      </c>
      <c r="J11" s="17"/>
      <c r="K11" s="17"/>
    </row>
    <row r="12" spans="1:11" ht="40.049999999999997" customHeight="1" x14ac:dyDescent="0.35">
      <c r="A12" s="26"/>
      <c r="B12" s="24" t="s">
        <v>47</v>
      </c>
      <c r="C12" s="24">
        <v>1.5</v>
      </c>
      <c r="D12" s="24" t="s">
        <v>47</v>
      </c>
      <c r="E12" s="24">
        <f>E11</f>
        <v>628083</v>
      </c>
      <c r="F12" s="24" t="s">
        <v>30</v>
      </c>
      <c r="G12" s="25" t="s">
        <v>69</v>
      </c>
      <c r="H12" s="25">
        <f t="shared" si="1"/>
        <v>942124.5</v>
      </c>
      <c r="I12" s="25" t="s">
        <v>28</v>
      </c>
      <c r="J12" s="17"/>
      <c r="K12" s="17"/>
    </row>
    <row r="13" spans="1:11" ht="40.049999999999997" customHeight="1" x14ac:dyDescent="0.35">
      <c r="A13" s="26"/>
      <c r="B13" s="24" t="s">
        <v>92</v>
      </c>
      <c r="C13" s="24">
        <v>0.02</v>
      </c>
      <c r="D13" s="24" t="s">
        <v>92</v>
      </c>
      <c r="E13" s="24">
        <f>E11</f>
        <v>628083</v>
      </c>
      <c r="F13" s="24" t="s">
        <v>30</v>
      </c>
      <c r="G13" s="25" t="s">
        <v>95</v>
      </c>
      <c r="H13" s="25">
        <f>E13*C13</f>
        <v>12561.66</v>
      </c>
      <c r="I13" s="25" t="s">
        <v>28</v>
      </c>
      <c r="J13" s="17"/>
      <c r="K13" s="17"/>
    </row>
    <row r="14" spans="1:11" ht="40.049999999999997" customHeight="1" x14ac:dyDescent="0.35">
      <c r="A14" s="23" t="s">
        <v>34</v>
      </c>
      <c r="B14" s="24" t="s">
        <v>35</v>
      </c>
      <c r="C14" s="24">
        <v>1.1000000000000001</v>
      </c>
      <c r="D14" s="24" t="s">
        <v>78</v>
      </c>
      <c r="E14" s="24">
        <v>372630</v>
      </c>
      <c r="F14" s="24" t="s">
        <v>30</v>
      </c>
      <c r="G14" s="25" t="s">
        <v>67</v>
      </c>
      <c r="H14" s="25">
        <f>(K1-E14)*C14</f>
        <v>1438107</v>
      </c>
      <c r="I14" s="25" t="s">
        <v>28</v>
      </c>
      <c r="J14" s="17"/>
      <c r="K14" s="17"/>
    </row>
    <row r="15" spans="1:11" ht="40.049999999999997" customHeight="1" x14ac:dyDescent="0.35">
      <c r="A15" s="26" t="s">
        <v>97</v>
      </c>
      <c r="B15" s="24" t="s">
        <v>93</v>
      </c>
      <c r="C15" s="24">
        <v>0.05</v>
      </c>
      <c r="D15" s="24" t="s">
        <v>93</v>
      </c>
      <c r="E15" s="24">
        <v>1132380</v>
      </c>
      <c r="F15" s="24" t="s">
        <v>30</v>
      </c>
      <c r="G15" s="25" t="s">
        <v>94</v>
      </c>
      <c r="H15" s="25">
        <f t="shared" ref="H15:H16" si="2">E15*C15</f>
        <v>56619</v>
      </c>
      <c r="I15" s="25" t="s">
        <v>28</v>
      </c>
      <c r="J15" s="17"/>
      <c r="K15" s="17"/>
    </row>
    <row r="16" spans="1:11" ht="40.049999999999997" customHeight="1" x14ac:dyDescent="0.35">
      <c r="A16" s="26"/>
      <c r="B16" s="24" t="s">
        <v>47</v>
      </c>
      <c r="C16" s="24">
        <v>3</v>
      </c>
      <c r="D16" s="24" t="s">
        <v>47</v>
      </c>
      <c r="E16" s="24">
        <f>E15</f>
        <v>1132380</v>
      </c>
      <c r="F16" s="24" t="s">
        <v>30</v>
      </c>
      <c r="G16" s="25" t="s">
        <v>69</v>
      </c>
      <c r="H16" s="25">
        <f t="shared" si="2"/>
        <v>3397140</v>
      </c>
      <c r="I16" s="25" t="s">
        <v>28</v>
      </c>
      <c r="J16" s="17"/>
      <c r="K16" s="17"/>
    </row>
    <row r="17" spans="1:11" ht="40.049999999999997" customHeight="1" x14ac:dyDescent="0.35">
      <c r="A17" s="26"/>
      <c r="B17" s="24" t="s">
        <v>92</v>
      </c>
      <c r="C17" s="24">
        <v>0.02</v>
      </c>
      <c r="D17" s="24" t="s">
        <v>92</v>
      </c>
      <c r="E17" s="24">
        <f>E15</f>
        <v>1132380</v>
      </c>
      <c r="F17" s="24" t="s">
        <v>30</v>
      </c>
      <c r="G17" s="25" t="s">
        <v>95</v>
      </c>
      <c r="H17" s="25">
        <f>E17*C17</f>
        <v>22647.600000000002</v>
      </c>
      <c r="I17" s="25" t="s">
        <v>28</v>
      </c>
      <c r="J17" s="17"/>
      <c r="K17" s="17"/>
    </row>
    <row r="18" spans="1:11" ht="40.049999999999997" customHeight="1" x14ac:dyDescent="0.35">
      <c r="A18" s="26" t="s">
        <v>71</v>
      </c>
      <c r="B18" s="24" t="s">
        <v>35</v>
      </c>
      <c r="C18" s="24">
        <v>0.5</v>
      </c>
      <c r="D18" s="24" t="s">
        <v>78</v>
      </c>
      <c r="E18" s="24">
        <v>444627</v>
      </c>
      <c r="F18" s="24" t="s">
        <v>30</v>
      </c>
      <c r="G18" s="25" t="s">
        <v>67</v>
      </c>
      <c r="H18" s="25">
        <f>(K1-E18)*C18</f>
        <v>617686.5</v>
      </c>
      <c r="I18" s="25" t="s">
        <v>28</v>
      </c>
      <c r="J18" s="17"/>
      <c r="K18" s="17"/>
    </row>
    <row r="19" spans="1:11" ht="40.049999999999997" customHeight="1" x14ac:dyDescent="0.35">
      <c r="A19" s="26"/>
      <c r="B19" s="24" t="s">
        <v>29</v>
      </c>
      <c r="C19" s="24">
        <v>0.6</v>
      </c>
      <c r="D19" s="24" t="s">
        <v>78</v>
      </c>
      <c r="E19" s="24">
        <f>E18</f>
        <v>444627</v>
      </c>
      <c r="F19" s="24" t="s">
        <v>30</v>
      </c>
      <c r="G19" s="25" t="s">
        <v>64</v>
      </c>
      <c r="H19" s="25">
        <f>(K1-E19)*C19</f>
        <v>741223.79999999993</v>
      </c>
      <c r="I19" s="25" t="s">
        <v>28</v>
      </c>
      <c r="J19" s="17"/>
      <c r="K19" s="17"/>
    </row>
    <row r="20" spans="1:11" ht="40.049999999999997" customHeight="1" x14ac:dyDescent="0.35">
      <c r="A20" s="23" t="s">
        <v>79</v>
      </c>
      <c r="B20" s="24" t="s">
        <v>50</v>
      </c>
      <c r="C20" s="24">
        <v>4</v>
      </c>
      <c r="D20" s="24" t="s">
        <v>80</v>
      </c>
      <c r="E20" s="24">
        <v>422102</v>
      </c>
      <c r="F20" s="24" t="s">
        <v>30</v>
      </c>
      <c r="G20" s="25" t="s">
        <v>81</v>
      </c>
      <c r="H20" s="25">
        <f>(K1-E20)*C20</f>
        <v>5031592</v>
      </c>
      <c r="I20" s="25" t="s">
        <v>28</v>
      </c>
      <c r="J20" s="17"/>
      <c r="K20" s="17"/>
    </row>
    <row r="21" spans="1:11" ht="40.049999999999997" customHeight="1" x14ac:dyDescent="0.35">
      <c r="A21" s="26" t="s">
        <v>98</v>
      </c>
      <c r="B21" s="24" t="s">
        <v>93</v>
      </c>
      <c r="C21" s="24">
        <v>0.1</v>
      </c>
      <c r="D21" s="24" t="s">
        <v>93</v>
      </c>
      <c r="E21" s="24">
        <v>270870</v>
      </c>
      <c r="F21" s="24" t="s">
        <v>30</v>
      </c>
      <c r="G21" s="25" t="s">
        <v>103</v>
      </c>
      <c r="H21" s="25">
        <f t="shared" ref="H21:H29" si="3">E21*C21</f>
        <v>27087</v>
      </c>
      <c r="I21" s="25" t="s">
        <v>28</v>
      </c>
      <c r="J21" s="17"/>
      <c r="K21" s="17"/>
    </row>
    <row r="22" spans="1:11" ht="40.049999999999997" customHeight="1" x14ac:dyDescent="0.35">
      <c r="A22" s="26"/>
      <c r="B22" s="24" t="s">
        <v>99</v>
      </c>
      <c r="C22" s="24">
        <v>0.2</v>
      </c>
      <c r="D22" s="24" t="s">
        <v>99</v>
      </c>
      <c r="E22" s="24">
        <f>E21</f>
        <v>270870</v>
      </c>
      <c r="F22" s="24" t="s">
        <v>30</v>
      </c>
      <c r="G22" s="25" t="s">
        <v>102</v>
      </c>
      <c r="H22" s="25">
        <f t="shared" si="3"/>
        <v>54174</v>
      </c>
      <c r="I22" s="25" t="s">
        <v>28</v>
      </c>
      <c r="J22" s="17"/>
      <c r="K22" s="17"/>
    </row>
    <row r="23" spans="1:11" ht="40.049999999999997" customHeight="1" x14ac:dyDescent="0.35">
      <c r="A23" s="26"/>
      <c r="B23" s="24" t="s">
        <v>100</v>
      </c>
      <c r="C23" s="24">
        <v>1</v>
      </c>
      <c r="D23" s="24" t="s">
        <v>100</v>
      </c>
      <c r="E23" s="24">
        <f>E21</f>
        <v>270870</v>
      </c>
      <c r="F23" s="24" t="s">
        <v>30</v>
      </c>
      <c r="G23" s="25" t="s">
        <v>73</v>
      </c>
      <c r="H23" s="25">
        <f t="shared" si="3"/>
        <v>270870</v>
      </c>
      <c r="I23" s="25" t="s">
        <v>28</v>
      </c>
      <c r="J23" s="17"/>
      <c r="K23" s="17"/>
    </row>
    <row r="24" spans="1:11" ht="40.049999999999997" customHeight="1" x14ac:dyDescent="0.35">
      <c r="A24" s="26" t="s">
        <v>101</v>
      </c>
      <c r="B24" s="24" t="s">
        <v>93</v>
      </c>
      <c r="C24" s="24">
        <v>0.1</v>
      </c>
      <c r="D24" s="24" t="s">
        <v>93</v>
      </c>
      <c r="E24" s="24">
        <v>207679</v>
      </c>
      <c r="F24" s="24" t="s">
        <v>30</v>
      </c>
      <c r="G24" s="25" t="s">
        <v>94</v>
      </c>
      <c r="H24" s="25">
        <f t="shared" si="3"/>
        <v>20767.900000000001</v>
      </c>
      <c r="I24" s="25" t="s">
        <v>28</v>
      </c>
      <c r="J24" s="17"/>
      <c r="K24" s="17"/>
    </row>
    <row r="25" spans="1:11" ht="40.049999999999997" customHeight="1" x14ac:dyDescent="0.35">
      <c r="A25" s="26"/>
      <c r="B25" s="24" t="s">
        <v>99</v>
      </c>
      <c r="C25" s="24">
        <v>0.5</v>
      </c>
      <c r="D25" s="24" t="s">
        <v>99</v>
      </c>
      <c r="E25" s="24">
        <f>E24</f>
        <v>207679</v>
      </c>
      <c r="F25" s="24" t="s">
        <v>30</v>
      </c>
      <c r="G25" s="25" t="s">
        <v>102</v>
      </c>
      <c r="H25" s="25">
        <f t="shared" si="3"/>
        <v>103839.5</v>
      </c>
      <c r="I25" s="25" t="s">
        <v>28</v>
      </c>
      <c r="J25" s="17"/>
      <c r="K25" s="17"/>
    </row>
    <row r="26" spans="1:11" ht="40.049999999999997" customHeight="1" x14ac:dyDescent="0.35">
      <c r="A26" s="23" t="s">
        <v>43</v>
      </c>
      <c r="B26" s="24" t="s">
        <v>43</v>
      </c>
      <c r="C26" s="24">
        <v>4</v>
      </c>
      <c r="D26" s="24" t="s">
        <v>44</v>
      </c>
      <c r="E26" s="24">
        <v>178573</v>
      </c>
      <c r="F26" s="24" t="s">
        <v>30</v>
      </c>
      <c r="G26" s="25" t="s">
        <v>74</v>
      </c>
      <c r="H26" s="25">
        <f t="shared" si="3"/>
        <v>714292</v>
      </c>
      <c r="I26" s="25" t="s">
        <v>28</v>
      </c>
      <c r="J26" s="17"/>
      <c r="K26" s="17"/>
    </row>
    <row r="27" spans="1:11" ht="40.049999999999997" customHeight="1" x14ac:dyDescent="0.35">
      <c r="A27" s="26" t="s">
        <v>106</v>
      </c>
      <c r="B27" s="24" t="s">
        <v>93</v>
      </c>
      <c r="C27" s="24">
        <v>0.1</v>
      </c>
      <c r="D27" s="24" t="s">
        <v>93</v>
      </c>
      <c r="E27" s="24">
        <f>K1</f>
        <v>1680000</v>
      </c>
      <c r="F27" s="24" t="s">
        <v>30</v>
      </c>
      <c r="G27" s="25" t="s">
        <v>103</v>
      </c>
      <c r="H27" s="25">
        <f t="shared" si="3"/>
        <v>168000</v>
      </c>
      <c r="I27" s="25" t="s">
        <v>28</v>
      </c>
    </row>
    <row r="28" spans="1:11" ht="40.049999999999997" customHeight="1" x14ac:dyDescent="0.35">
      <c r="A28" s="26"/>
      <c r="B28" s="24" t="s">
        <v>107</v>
      </c>
      <c r="C28" s="24">
        <v>0.3</v>
      </c>
      <c r="D28" s="24" t="s">
        <v>107</v>
      </c>
      <c r="E28" s="24">
        <f>E27</f>
        <v>1680000</v>
      </c>
      <c r="F28" s="24" t="s">
        <v>30</v>
      </c>
      <c r="G28" s="25" t="s">
        <v>108</v>
      </c>
      <c r="H28" s="25">
        <f t="shared" si="3"/>
        <v>504000</v>
      </c>
      <c r="I28" s="25" t="s">
        <v>28</v>
      </c>
    </row>
    <row r="29" spans="1:11" ht="40.049999999999997" customHeight="1" x14ac:dyDescent="0.35">
      <c r="A29" s="26"/>
      <c r="B29" s="24" t="s">
        <v>100</v>
      </c>
      <c r="C29" s="24">
        <v>0.2</v>
      </c>
      <c r="D29" s="24" t="s">
        <v>100</v>
      </c>
      <c r="E29" s="24">
        <f>E27</f>
        <v>1680000</v>
      </c>
      <c r="F29" s="24" t="s">
        <v>30</v>
      </c>
      <c r="G29" s="25" t="s">
        <v>73</v>
      </c>
      <c r="H29" s="25">
        <f t="shared" si="3"/>
        <v>336000</v>
      </c>
      <c r="I29" s="25" t="s">
        <v>28</v>
      </c>
    </row>
  </sheetData>
  <mergeCells count="9">
    <mergeCell ref="A21:A23"/>
    <mergeCell ref="A24:A25"/>
    <mergeCell ref="A27:A29"/>
    <mergeCell ref="D1:F1"/>
    <mergeCell ref="G1:I1"/>
    <mergeCell ref="A6:A8"/>
    <mergeCell ref="A11:A13"/>
    <mergeCell ref="A15:A17"/>
    <mergeCell ref="A18:A19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A7F5-1EFC-42AE-AC2E-761C312B66ED}">
  <dimension ref="A1:K29"/>
  <sheetViews>
    <sheetView tabSelected="1" zoomScale="85" zoomScaleNormal="85" workbookViewId="0">
      <pane ySplit="1" topLeftCell="A11" activePane="bottomLeft" state="frozen"/>
      <selection pane="bottomLeft" activeCell="G15" sqref="G15"/>
    </sheetView>
  </sheetViews>
  <sheetFormatPr defaultColWidth="15.796875" defaultRowHeight="40.049999999999997" customHeight="1" x14ac:dyDescent="0.35"/>
  <cols>
    <col min="1" max="1" width="41" style="12" customWidth="1"/>
    <col min="2" max="2" width="15.796875" style="10"/>
    <col min="3" max="3" width="19.6640625" style="10" customWidth="1"/>
    <col min="4" max="4" width="17.46484375" style="10" customWidth="1"/>
    <col min="5" max="5" width="15.796875" style="10"/>
    <col min="6" max="6" width="13.33203125" style="10" customWidth="1"/>
    <col min="7" max="7" width="17.19921875" style="10" customWidth="1"/>
    <col min="8" max="16384" width="15.796875" style="10"/>
  </cols>
  <sheetData>
    <row r="1" spans="1:11" ht="40.049999999999997" customHeight="1" x14ac:dyDescent="0.35">
      <c r="A1" s="13" t="s">
        <v>105</v>
      </c>
      <c r="B1" s="22" t="s">
        <v>52</v>
      </c>
      <c r="C1" s="22" t="s">
        <v>58</v>
      </c>
      <c r="D1" s="27" t="s">
        <v>82</v>
      </c>
      <c r="E1" s="27"/>
      <c r="F1" s="27"/>
      <c r="G1" s="27" t="s">
        <v>53</v>
      </c>
      <c r="H1" s="27"/>
      <c r="I1" s="27"/>
      <c r="J1" s="22" t="s">
        <v>54</v>
      </c>
      <c r="K1" s="22">
        <f>850*1400</f>
        <v>1190000</v>
      </c>
    </row>
    <row r="2" spans="1:11" ht="40.049999999999997" customHeight="1" x14ac:dyDescent="0.35">
      <c r="A2" s="23" t="s">
        <v>91</v>
      </c>
      <c r="B2" s="24" t="s">
        <v>51</v>
      </c>
      <c r="C2" s="24">
        <v>410</v>
      </c>
      <c r="D2" s="24" t="s">
        <v>75</v>
      </c>
      <c r="E2" s="24">
        <f>K1</f>
        <v>1190000</v>
      </c>
      <c r="F2" s="24" t="s">
        <v>30</v>
      </c>
      <c r="G2" s="25" t="s">
        <v>59</v>
      </c>
      <c r="H2" s="25">
        <f>E2*C2</f>
        <v>487900000</v>
      </c>
      <c r="I2" s="25" t="s">
        <v>28</v>
      </c>
      <c r="J2" s="17"/>
      <c r="K2" s="17"/>
    </row>
    <row r="3" spans="1:11" ht="40.049999999999997" customHeight="1" x14ac:dyDescent="0.35">
      <c r="A3" s="23" t="s">
        <v>83</v>
      </c>
      <c r="B3" s="24" t="s">
        <v>51</v>
      </c>
      <c r="C3" s="24">
        <v>40</v>
      </c>
      <c r="D3" s="24" t="s">
        <v>57</v>
      </c>
      <c r="E3" s="24">
        <v>109661</v>
      </c>
      <c r="F3" s="24" t="s">
        <v>30</v>
      </c>
      <c r="G3" s="25" t="s">
        <v>59</v>
      </c>
      <c r="H3" s="25">
        <f>(E2-E3)*C3</f>
        <v>43213560</v>
      </c>
      <c r="I3" s="25" t="s">
        <v>28</v>
      </c>
      <c r="J3" s="17"/>
      <c r="K3" s="17"/>
    </row>
    <row r="4" spans="1:11" ht="40.049999999999997" customHeight="1" x14ac:dyDescent="0.35">
      <c r="A4" s="23" t="s">
        <v>60</v>
      </c>
      <c r="B4" s="24" t="s">
        <v>35</v>
      </c>
      <c r="C4" s="24">
        <v>0.03</v>
      </c>
      <c r="D4" s="24" t="s">
        <v>75</v>
      </c>
      <c r="E4" s="24">
        <f>K1</f>
        <v>1190000</v>
      </c>
      <c r="F4" s="24" t="s">
        <v>30</v>
      </c>
      <c r="G4" s="25" t="s">
        <v>61</v>
      </c>
      <c r="H4" s="25">
        <f>C4*K1</f>
        <v>35700</v>
      </c>
      <c r="I4" s="25" t="s">
        <v>28</v>
      </c>
      <c r="J4" s="17"/>
      <c r="K4" s="17"/>
    </row>
    <row r="5" spans="1:11" ht="49.8" customHeight="1" x14ac:dyDescent="0.35">
      <c r="A5" s="23" t="s">
        <v>76</v>
      </c>
      <c r="B5" s="24" t="s">
        <v>46</v>
      </c>
      <c r="C5" s="24">
        <v>0.3</v>
      </c>
      <c r="D5" s="24" t="s">
        <v>56</v>
      </c>
      <c r="E5" s="24">
        <v>519707</v>
      </c>
      <c r="F5" s="24" t="s">
        <v>30</v>
      </c>
      <c r="G5" s="25" t="s">
        <v>62</v>
      </c>
      <c r="H5" s="25">
        <f>(E5)*C5</f>
        <v>155912.1</v>
      </c>
      <c r="I5" s="25" t="s">
        <v>28</v>
      </c>
      <c r="J5" s="17"/>
      <c r="K5" s="17"/>
    </row>
    <row r="6" spans="1:11" ht="40.049999999999997" customHeight="1" x14ac:dyDescent="0.35">
      <c r="A6" s="26" t="s">
        <v>32</v>
      </c>
      <c r="B6" s="24" t="s">
        <v>48</v>
      </c>
      <c r="C6" s="24">
        <v>3.0000000000000001E-3</v>
      </c>
      <c r="D6" s="24" t="s">
        <v>54</v>
      </c>
      <c r="E6" s="24">
        <f>E5</f>
        <v>519707</v>
      </c>
      <c r="F6" s="24" t="s">
        <v>30</v>
      </c>
      <c r="G6" s="25" t="s">
        <v>63</v>
      </c>
      <c r="H6" s="25">
        <f>C6*E6</f>
        <v>1559.1210000000001</v>
      </c>
      <c r="I6" s="25" t="s">
        <v>28</v>
      </c>
      <c r="J6" s="17"/>
      <c r="K6" s="17"/>
    </row>
    <row r="7" spans="1:11" ht="40.049999999999997" customHeight="1" x14ac:dyDescent="0.35">
      <c r="A7" s="26"/>
      <c r="B7" s="24" t="s">
        <v>29</v>
      </c>
      <c r="C7" s="24">
        <v>1.7999999999999999E-2</v>
      </c>
      <c r="D7" s="24" t="s">
        <v>54</v>
      </c>
      <c r="E7" s="24">
        <f>E5</f>
        <v>519707</v>
      </c>
      <c r="F7" s="24" t="s">
        <v>30</v>
      </c>
      <c r="G7" s="25" t="s">
        <v>64</v>
      </c>
      <c r="H7" s="25">
        <f t="shared" ref="H7:H8" si="0">C7*E7</f>
        <v>9354.7259999999987</v>
      </c>
      <c r="I7" s="25" t="s">
        <v>28</v>
      </c>
      <c r="J7" s="17"/>
      <c r="K7" s="17"/>
    </row>
    <row r="8" spans="1:11" ht="40.049999999999997" customHeight="1" x14ac:dyDescent="0.35">
      <c r="A8" s="26"/>
      <c r="B8" s="24" t="s">
        <v>49</v>
      </c>
      <c r="C8" s="24">
        <v>6.0000000000000001E-3</v>
      </c>
      <c r="D8" s="24" t="s">
        <v>54</v>
      </c>
      <c r="E8" s="24">
        <f>E5</f>
        <v>519707</v>
      </c>
      <c r="F8" s="24" t="s">
        <v>30</v>
      </c>
      <c r="G8" s="25" t="s">
        <v>65</v>
      </c>
      <c r="H8" s="25">
        <f t="shared" si="0"/>
        <v>3118.2420000000002</v>
      </c>
      <c r="I8" s="25" t="s">
        <v>28</v>
      </c>
      <c r="J8" s="17"/>
      <c r="K8" s="17"/>
    </row>
    <row r="9" spans="1:11" ht="51" customHeight="1" x14ac:dyDescent="0.35">
      <c r="A9" s="23" t="s">
        <v>77</v>
      </c>
      <c r="B9" s="24" t="s">
        <v>46</v>
      </c>
      <c r="C9" s="24">
        <v>0.3</v>
      </c>
      <c r="D9" s="24" t="s">
        <v>55</v>
      </c>
      <c r="E9" s="24">
        <v>236687</v>
      </c>
      <c r="F9" s="24" t="s">
        <v>30</v>
      </c>
      <c r="G9" s="25" t="s">
        <v>66</v>
      </c>
      <c r="H9" s="25">
        <f>(E9)*C9</f>
        <v>71006.099999999991</v>
      </c>
      <c r="I9" s="25" t="s">
        <v>28</v>
      </c>
      <c r="J9" s="17"/>
      <c r="K9" s="17"/>
    </row>
    <row r="10" spans="1:11" ht="40.049999999999997" customHeight="1" x14ac:dyDescent="0.35">
      <c r="A10" s="23" t="s">
        <v>31</v>
      </c>
      <c r="B10" s="24" t="s">
        <v>35</v>
      </c>
      <c r="C10" s="24">
        <v>0.6</v>
      </c>
      <c r="D10" s="24" t="s">
        <v>78</v>
      </c>
      <c r="E10" s="24">
        <v>10148.799999999999</v>
      </c>
      <c r="F10" s="24" t="s">
        <v>30</v>
      </c>
      <c r="G10" s="25" t="s">
        <v>67</v>
      </c>
      <c r="H10" s="25">
        <f>(K1-E10)*C10</f>
        <v>707910.72</v>
      </c>
      <c r="I10" s="25" t="s">
        <v>28</v>
      </c>
      <c r="J10" s="17"/>
      <c r="K10" s="17"/>
    </row>
    <row r="11" spans="1:11" ht="40.049999999999997" customHeight="1" x14ac:dyDescent="0.35">
      <c r="A11" s="26" t="s">
        <v>96</v>
      </c>
      <c r="B11" s="24" t="s">
        <v>93</v>
      </c>
      <c r="C11" s="24">
        <v>0.05</v>
      </c>
      <c r="D11" s="24" t="s">
        <v>93</v>
      </c>
      <c r="E11" s="24">
        <v>594906</v>
      </c>
      <c r="F11" s="24" t="s">
        <v>30</v>
      </c>
      <c r="G11" s="25" t="s">
        <v>94</v>
      </c>
      <c r="H11" s="25">
        <f t="shared" ref="H11:H12" si="1">E11*C11</f>
        <v>29745.300000000003</v>
      </c>
      <c r="I11" s="25" t="s">
        <v>28</v>
      </c>
      <c r="J11" s="17"/>
      <c r="K11" s="17"/>
    </row>
    <row r="12" spans="1:11" ht="40.049999999999997" customHeight="1" x14ac:dyDescent="0.35">
      <c r="A12" s="26"/>
      <c r="B12" s="24" t="s">
        <v>47</v>
      </c>
      <c r="C12" s="24">
        <v>1.5</v>
      </c>
      <c r="D12" s="24" t="s">
        <v>47</v>
      </c>
      <c r="E12" s="24">
        <f>E11</f>
        <v>594906</v>
      </c>
      <c r="F12" s="24" t="s">
        <v>30</v>
      </c>
      <c r="G12" s="25" t="s">
        <v>69</v>
      </c>
      <c r="H12" s="25">
        <f t="shared" si="1"/>
        <v>892359</v>
      </c>
      <c r="I12" s="25" t="s">
        <v>28</v>
      </c>
      <c r="J12" s="17"/>
      <c r="K12" s="17"/>
    </row>
    <row r="13" spans="1:11" ht="40.049999999999997" customHeight="1" x14ac:dyDescent="0.35">
      <c r="A13" s="26"/>
      <c r="B13" s="24" t="s">
        <v>92</v>
      </c>
      <c r="C13" s="24">
        <v>0.02</v>
      </c>
      <c r="D13" s="24" t="s">
        <v>92</v>
      </c>
      <c r="E13" s="24">
        <f>E11</f>
        <v>594906</v>
      </c>
      <c r="F13" s="24" t="s">
        <v>30</v>
      </c>
      <c r="G13" s="25" t="s">
        <v>95</v>
      </c>
      <c r="H13" s="25">
        <f>E13*C13</f>
        <v>11898.12</v>
      </c>
      <c r="I13" s="25" t="s">
        <v>28</v>
      </c>
      <c r="J13" s="17"/>
      <c r="K13" s="17"/>
    </row>
    <row r="14" spans="1:11" ht="40.049999999999997" customHeight="1" x14ac:dyDescent="0.35">
      <c r="A14" s="23" t="s">
        <v>34</v>
      </c>
      <c r="B14" s="24" t="s">
        <v>35</v>
      </c>
      <c r="C14" s="24">
        <v>1.1000000000000001</v>
      </c>
      <c r="D14" s="24" t="s">
        <v>78</v>
      </c>
      <c r="E14" s="24">
        <v>355606</v>
      </c>
      <c r="F14" s="24" t="s">
        <v>30</v>
      </c>
      <c r="G14" s="25" t="s">
        <v>67</v>
      </c>
      <c r="H14" s="25">
        <f>(K1-E14)*C14</f>
        <v>917833.4</v>
      </c>
      <c r="I14" s="25" t="s">
        <v>28</v>
      </c>
      <c r="J14" s="17"/>
      <c r="K14" s="17"/>
    </row>
    <row r="15" spans="1:11" ht="40.049999999999997" customHeight="1" x14ac:dyDescent="0.35">
      <c r="A15" s="26" t="s">
        <v>97</v>
      </c>
      <c r="B15" s="24" t="s">
        <v>93</v>
      </c>
      <c r="C15" s="24">
        <v>0.05</v>
      </c>
      <c r="D15" s="24" t="s">
        <v>93</v>
      </c>
      <c r="E15" s="24">
        <v>934905</v>
      </c>
      <c r="F15" s="24" t="s">
        <v>30</v>
      </c>
      <c r="G15" s="25" t="s">
        <v>94</v>
      </c>
      <c r="H15" s="25">
        <f t="shared" ref="H15:H16" si="2">E15*C15</f>
        <v>46745.25</v>
      </c>
      <c r="I15" s="25" t="s">
        <v>28</v>
      </c>
      <c r="J15" s="17"/>
      <c r="K15" s="17"/>
    </row>
    <row r="16" spans="1:11" ht="40.049999999999997" customHeight="1" x14ac:dyDescent="0.35">
      <c r="A16" s="26"/>
      <c r="B16" s="24" t="s">
        <v>47</v>
      </c>
      <c r="C16" s="24">
        <v>3</v>
      </c>
      <c r="D16" s="24" t="s">
        <v>47</v>
      </c>
      <c r="E16" s="24">
        <f>E15</f>
        <v>934905</v>
      </c>
      <c r="F16" s="24" t="s">
        <v>30</v>
      </c>
      <c r="G16" s="25" t="s">
        <v>69</v>
      </c>
      <c r="H16" s="25">
        <f t="shared" si="2"/>
        <v>2804715</v>
      </c>
      <c r="I16" s="25" t="s">
        <v>28</v>
      </c>
      <c r="J16" s="17"/>
      <c r="K16" s="17"/>
    </row>
    <row r="17" spans="1:11" ht="40.049999999999997" customHeight="1" x14ac:dyDescent="0.35">
      <c r="A17" s="26"/>
      <c r="B17" s="24" t="s">
        <v>92</v>
      </c>
      <c r="C17" s="24">
        <v>0.02</v>
      </c>
      <c r="D17" s="24" t="s">
        <v>92</v>
      </c>
      <c r="E17" s="24">
        <f>E15</f>
        <v>934905</v>
      </c>
      <c r="F17" s="24" t="s">
        <v>30</v>
      </c>
      <c r="G17" s="25" t="s">
        <v>95</v>
      </c>
      <c r="H17" s="25">
        <f>E17*C17</f>
        <v>18698.100000000002</v>
      </c>
      <c r="I17" s="25" t="s">
        <v>28</v>
      </c>
      <c r="J17" s="17"/>
      <c r="K17" s="17"/>
    </row>
    <row r="18" spans="1:11" ht="40.049999999999997" customHeight="1" x14ac:dyDescent="0.35">
      <c r="A18" s="26" t="s">
        <v>71</v>
      </c>
      <c r="B18" s="24" t="s">
        <v>35</v>
      </c>
      <c r="C18" s="24">
        <v>0.5</v>
      </c>
      <c r="D18" s="24" t="s">
        <v>78</v>
      </c>
      <c r="E18" s="24">
        <v>457957</v>
      </c>
      <c r="F18" s="24" t="s">
        <v>30</v>
      </c>
      <c r="G18" s="25" t="s">
        <v>67</v>
      </c>
      <c r="H18" s="25">
        <f>(K1-E18)*C18</f>
        <v>366021.5</v>
      </c>
      <c r="I18" s="25" t="s">
        <v>28</v>
      </c>
      <c r="J18" s="17"/>
      <c r="K18" s="17"/>
    </row>
    <row r="19" spans="1:11" ht="40.049999999999997" customHeight="1" x14ac:dyDescent="0.35">
      <c r="A19" s="26"/>
      <c r="B19" s="24" t="s">
        <v>29</v>
      </c>
      <c r="C19" s="24">
        <v>0.6</v>
      </c>
      <c r="D19" s="24" t="s">
        <v>78</v>
      </c>
      <c r="E19" s="24">
        <f>E18</f>
        <v>457957</v>
      </c>
      <c r="F19" s="24" t="s">
        <v>30</v>
      </c>
      <c r="G19" s="25" t="s">
        <v>64</v>
      </c>
      <c r="H19" s="25">
        <f>(K1-E19)*C19</f>
        <v>439225.8</v>
      </c>
      <c r="I19" s="25" t="s">
        <v>28</v>
      </c>
      <c r="J19" s="17"/>
      <c r="K19" s="17"/>
    </row>
    <row r="20" spans="1:11" ht="40.049999999999997" customHeight="1" x14ac:dyDescent="0.35">
      <c r="A20" s="23" t="s">
        <v>79</v>
      </c>
      <c r="B20" s="24" t="s">
        <v>50</v>
      </c>
      <c r="C20" s="24">
        <v>4</v>
      </c>
      <c r="D20" s="24" t="s">
        <v>80</v>
      </c>
      <c r="E20" s="24">
        <v>438695</v>
      </c>
      <c r="F20" s="24" t="s">
        <v>30</v>
      </c>
      <c r="G20" s="25" t="s">
        <v>81</v>
      </c>
      <c r="H20" s="25">
        <f>(K1-E20)*C20</f>
        <v>3005220</v>
      </c>
      <c r="I20" s="25" t="s">
        <v>28</v>
      </c>
      <c r="J20" s="17"/>
      <c r="K20" s="17"/>
    </row>
    <row r="21" spans="1:11" ht="40.049999999999997" customHeight="1" x14ac:dyDescent="0.35">
      <c r="A21" s="26" t="s">
        <v>98</v>
      </c>
      <c r="B21" s="24" t="s">
        <v>93</v>
      </c>
      <c r="C21" s="24">
        <v>0.1</v>
      </c>
      <c r="D21" s="24" t="s">
        <v>93</v>
      </c>
      <c r="E21" s="24">
        <v>312010</v>
      </c>
      <c r="F21" s="24" t="s">
        <v>30</v>
      </c>
      <c r="G21" s="25" t="s">
        <v>103</v>
      </c>
      <c r="H21" s="25">
        <f t="shared" ref="H21:H29" si="3">E21*C21</f>
        <v>31201</v>
      </c>
      <c r="I21" s="25" t="s">
        <v>28</v>
      </c>
      <c r="J21" s="17"/>
      <c r="K21" s="17"/>
    </row>
    <row r="22" spans="1:11" ht="40.049999999999997" customHeight="1" x14ac:dyDescent="0.35">
      <c r="A22" s="26"/>
      <c r="B22" s="24" t="s">
        <v>99</v>
      </c>
      <c r="C22" s="24">
        <v>0.2</v>
      </c>
      <c r="D22" s="24" t="s">
        <v>99</v>
      </c>
      <c r="E22" s="24">
        <f>E21</f>
        <v>312010</v>
      </c>
      <c r="F22" s="24" t="s">
        <v>30</v>
      </c>
      <c r="G22" s="25" t="s">
        <v>102</v>
      </c>
      <c r="H22" s="25">
        <f t="shared" si="3"/>
        <v>62402</v>
      </c>
      <c r="I22" s="25" t="s">
        <v>28</v>
      </c>
      <c r="J22" s="17"/>
      <c r="K22" s="17"/>
    </row>
    <row r="23" spans="1:11" ht="40.049999999999997" customHeight="1" x14ac:dyDescent="0.35">
      <c r="A23" s="26"/>
      <c r="B23" s="24" t="s">
        <v>100</v>
      </c>
      <c r="C23" s="24">
        <v>1</v>
      </c>
      <c r="D23" s="24" t="s">
        <v>100</v>
      </c>
      <c r="E23" s="24">
        <f>E21</f>
        <v>312010</v>
      </c>
      <c r="F23" s="24" t="s">
        <v>30</v>
      </c>
      <c r="G23" s="25" t="s">
        <v>73</v>
      </c>
      <c r="H23" s="25">
        <f t="shared" si="3"/>
        <v>312010</v>
      </c>
      <c r="I23" s="25" t="s">
        <v>28</v>
      </c>
      <c r="J23" s="17"/>
      <c r="K23" s="17"/>
    </row>
    <row r="24" spans="1:11" ht="40.049999999999997" customHeight="1" x14ac:dyDescent="0.35">
      <c r="A24" s="26" t="s">
        <v>101</v>
      </c>
      <c r="B24" s="24" t="s">
        <v>93</v>
      </c>
      <c r="C24" s="24">
        <v>0.1</v>
      </c>
      <c r="D24" s="24" t="s">
        <v>93</v>
      </c>
      <c r="E24" s="24">
        <v>180679</v>
      </c>
      <c r="F24" s="24" t="s">
        <v>30</v>
      </c>
      <c r="G24" s="25" t="s">
        <v>94</v>
      </c>
      <c r="H24" s="25">
        <f t="shared" si="3"/>
        <v>18067.900000000001</v>
      </c>
      <c r="I24" s="25" t="s">
        <v>28</v>
      </c>
      <c r="J24" s="17"/>
      <c r="K24" s="17"/>
    </row>
    <row r="25" spans="1:11" ht="40.049999999999997" customHeight="1" x14ac:dyDescent="0.35">
      <c r="A25" s="26"/>
      <c r="B25" s="24" t="s">
        <v>99</v>
      </c>
      <c r="C25" s="24">
        <v>0.5</v>
      </c>
      <c r="D25" s="24" t="s">
        <v>99</v>
      </c>
      <c r="E25" s="24">
        <f>E24</f>
        <v>180679</v>
      </c>
      <c r="F25" s="24" t="s">
        <v>30</v>
      </c>
      <c r="G25" s="25" t="s">
        <v>102</v>
      </c>
      <c r="H25" s="25">
        <f t="shared" si="3"/>
        <v>90339.5</v>
      </c>
      <c r="I25" s="25" t="s">
        <v>28</v>
      </c>
      <c r="J25" s="17"/>
      <c r="K25" s="17"/>
    </row>
    <row r="26" spans="1:11" ht="40.049999999999997" customHeight="1" x14ac:dyDescent="0.35">
      <c r="A26" s="23" t="s">
        <v>43</v>
      </c>
      <c r="B26" s="24" t="s">
        <v>43</v>
      </c>
      <c r="C26" s="24">
        <v>4</v>
      </c>
      <c r="D26" s="24" t="s">
        <v>44</v>
      </c>
      <c r="E26" s="24">
        <v>154473</v>
      </c>
      <c r="F26" s="24" t="s">
        <v>30</v>
      </c>
      <c r="G26" s="25" t="s">
        <v>74</v>
      </c>
      <c r="H26" s="25">
        <f t="shared" si="3"/>
        <v>617892</v>
      </c>
      <c r="I26" s="25" t="s">
        <v>28</v>
      </c>
      <c r="J26" s="17"/>
      <c r="K26" s="17"/>
    </row>
    <row r="27" spans="1:11" ht="40.049999999999997" customHeight="1" x14ac:dyDescent="0.35">
      <c r="A27" s="26" t="s">
        <v>106</v>
      </c>
      <c r="B27" s="24" t="s">
        <v>93</v>
      </c>
      <c r="C27" s="24">
        <v>0.1</v>
      </c>
      <c r="D27" s="24" t="s">
        <v>93</v>
      </c>
      <c r="E27" s="24">
        <f>K1</f>
        <v>1190000</v>
      </c>
      <c r="F27" s="24" t="s">
        <v>30</v>
      </c>
      <c r="G27" s="25" t="s">
        <v>103</v>
      </c>
      <c r="H27" s="25">
        <f t="shared" si="3"/>
        <v>119000</v>
      </c>
      <c r="I27" s="25" t="s">
        <v>28</v>
      </c>
    </row>
    <row r="28" spans="1:11" ht="40.049999999999997" customHeight="1" x14ac:dyDescent="0.35">
      <c r="A28" s="26"/>
      <c r="B28" s="24" t="s">
        <v>107</v>
      </c>
      <c r="C28" s="24">
        <v>0.3</v>
      </c>
      <c r="D28" s="24" t="s">
        <v>107</v>
      </c>
      <c r="E28" s="24">
        <f>E27</f>
        <v>1190000</v>
      </c>
      <c r="F28" s="24" t="s">
        <v>30</v>
      </c>
      <c r="G28" s="25" t="s">
        <v>108</v>
      </c>
      <c r="H28" s="25">
        <f t="shared" si="3"/>
        <v>357000</v>
      </c>
      <c r="I28" s="25" t="s">
        <v>28</v>
      </c>
    </row>
    <row r="29" spans="1:11" ht="40.049999999999997" customHeight="1" x14ac:dyDescent="0.35">
      <c r="A29" s="26"/>
      <c r="B29" s="24" t="s">
        <v>100</v>
      </c>
      <c r="C29" s="24">
        <v>0.2</v>
      </c>
      <c r="D29" s="24" t="s">
        <v>100</v>
      </c>
      <c r="E29" s="24">
        <f>E27</f>
        <v>1190000</v>
      </c>
      <c r="F29" s="24" t="s">
        <v>30</v>
      </c>
      <c r="G29" s="25" t="s">
        <v>73</v>
      </c>
      <c r="H29" s="25">
        <f t="shared" si="3"/>
        <v>238000</v>
      </c>
      <c r="I29" s="25" t="s">
        <v>28</v>
      </c>
    </row>
  </sheetData>
  <mergeCells count="9">
    <mergeCell ref="A24:A25"/>
    <mergeCell ref="A27:A29"/>
    <mergeCell ref="D1:F1"/>
    <mergeCell ref="G1:I1"/>
    <mergeCell ref="A6:A8"/>
    <mergeCell ref="A18:A19"/>
    <mergeCell ref="A21:A23"/>
    <mergeCell ref="A11:A13"/>
    <mergeCell ref="A15:A17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4A50-5E1C-4BDD-8247-A02C9FFB1085}">
  <dimension ref="A1:K20"/>
  <sheetViews>
    <sheetView zoomScaleNormal="100" workbookViewId="0">
      <pane ySplit="1" topLeftCell="A2" activePane="bottomLeft" state="frozen"/>
      <selection pane="bottomLeft" activeCell="F5" sqref="F5"/>
    </sheetView>
  </sheetViews>
  <sheetFormatPr defaultColWidth="15.796875" defaultRowHeight="40.049999999999997" customHeight="1" x14ac:dyDescent="0.35"/>
  <cols>
    <col min="1" max="1" width="41" style="11" customWidth="1"/>
    <col min="2" max="2" width="15.796875" style="10"/>
    <col min="3" max="3" width="19.6640625" style="10" customWidth="1"/>
    <col min="4" max="4" width="17.46484375" style="10" customWidth="1"/>
    <col min="5" max="5" width="15.796875" style="10"/>
    <col min="6" max="6" width="13.33203125" style="10" customWidth="1"/>
    <col min="7" max="7" width="17.19921875" style="10" customWidth="1"/>
    <col min="8" max="16384" width="15.796875" style="10"/>
  </cols>
  <sheetData>
    <row r="1" spans="1:11" ht="40.049999999999997" customHeight="1" x14ac:dyDescent="0.35">
      <c r="A1" s="13" t="s">
        <v>45</v>
      </c>
      <c r="B1" s="14" t="s">
        <v>52</v>
      </c>
      <c r="C1" s="14" t="s">
        <v>58</v>
      </c>
      <c r="D1" s="27" t="s">
        <v>82</v>
      </c>
      <c r="E1" s="27"/>
      <c r="F1" s="27"/>
      <c r="G1" s="27" t="s">
        <v>53</v>
      </c>
      <c r="H1" s="27"/>
      <c r="I1" s="27"/>
      <c r="J1" s="14" t="s">
        <v>54</v>
      </c>
      <c r="K1" s="14">
        <v>1476000</v>
      </c>
    </row>
    <row r="2" spans="1:11" ht="40.049999999999997" customHeight="1" x14ac:dyDescent="0.35">
      <c r="A2" s="19" t="s">
        <v>91</v>
      </c>
      <c r="B2" s="17" t="s">
        <v>51</v>
      </c>
      <c r="C2" s="17">
        <v>410</v>
      </c>
      <c r="D2" s="17" t="s">
        <v>75</v>
      </c>
      <c r="E2" s="17">
        <v>1476000</v>
      </c>
      <c r="F2" s="17" t="s">
        <v>30</v>
      </c>
      <c r="G2" s="18" t="s">
        <v>59</v>
      </c>
      <c r="H2" s="18">
        <f>E2*C2</f>
        <v>605160000</v>
      </c>
      <c r="I2" s="18" t="s">
        <v>28</v>
      </c>
      <c r="J2" s="17"/>
      <c r="K2" s="17"/>
    </row>
    <row r="3" spans="1:11" ht="40.049999999999997" customHeight="1" x14ac:dyDescent="0.35">
      <c r="A3" s="16" t="s">
        <v>83</v>
      </c>
      <c r="B3" s="17" t="s">
        <v>51</v>
      </c>
      <c r="C3" s="17">
        <v>40</v>
      </c>
      <c r="D3" s="17" t="s">
        <v>57</v>
      </c>
      <c r="E3" s="17">
        <v>107716.349</v>
      </c>
      <c r="F3" s="17" t="s">
        <v>30</v>
      </c>
      <c r="G3" s="18" t="s">
        <v>59</v>
      </c>
      <c r="H3" s="18">
        <f>(E2-E3)*C3</f>
        <v>54731346.040000007</v>
      </c>
      <c r="I3" s="18" t="s">
        <v>28</v>
      </c>
      <c r="J3" s="17"/>
      <c r="K3" s="17"/>
    </row>
    <row r="4" spans="1:11" ht="40.049999999999997" customHeight="1" x14ac:dyDescent="0.35">
      <c r="A4" s="16" t="s">
        <v>60</v>
      </c>
      <c r="B4" s="17" t="s">
        <v>35</v>
      </c>
      <c r="C4" s="17">
        <v>2.8000000000000001E-2</v>
      </c>
      <c r="D4" s="17" t="s">
        <v>75</v>
      </c>
      <c r="E4" s="17">
        <v>1476000</v>
      </c>
      <c r="F4" s="17" t="s">
        <v>30</v>
      </c>
      <c r="G4" s="18" t="s">
        <v>61</v>
      </c>
      <c r="H4" s="18">
        <f>C4*K1</f>
        <v>41328</v>
      </c>
      <c r="I4" s="18" t="s">
        <v>28</v>
      </c>
      <c r="J4" s="17"/>
      <c r="K4" s="17"/>
    </row>
    <row r="5" spans="1:11" ht="49.8" customHeight="1" x14ac:dyDescent="0.35">
      <c r="A5" s="16" t="s">
        <v>76</v>
      </c>
      <c r="B5" s="17" t="s">
        <v>46</v>
      </c>
      <c r="C5" s="17">
        <v>0.3</v>
      </c>
      <c r="D5" s="17" t="s">
        <v>56</v>
      </c>
      <c r="E5" s="17">
        <v>578655.34100000001</v>
      </c>
      <c r="F5" s="17" t="s">
        <v>30</v>
      </c>
      <c r="G5" s="18" t="s">
        <v>62</v>
      </c>
      <c r="H5" s="18">
        <f>(E5)*C5</f>
        <v>173596.6023</v>
      </c>
      <c r="I5" s="18" t="s">
        <v>28</v>
      </c>
      <c r="J5" s="17"/>
      <c r="K5" s="17"/>
    </row>
    <row r="6" spans="1:11" ht="40.049999999999997" customHeight="1" x14ac:dyDescent="0.35">
      <c r="A6" s="28" t="s">
        <v>32</v>
      </c>
      <c r="B6" s="17" t="s">
        <v>48</v>
      </c>
      <c r="C6" s="17">
        <v>3.0000000000000001E-3</v>
      </c>
      <c r="D6" s="17" t="s">
        <v>54</v>
      </c>
      <c r="E6" s="17">
        <v>578655.34100000001</v>
      </c>
      <c r="F6" s="17" t="s">
        <v>30</v>
      </c>
      <c r="G6" s="18" t="s">
        <v>63</v>
      </c>
      <c r="H6" s="18">
        <f>C6*E6</f>
        <v>1735.9660230000002</v>
      </c>
      <c r="I6" s="18" t="s">
        <v>28</v>
      </c>
      <c r="J6" s="17"/>
      <c r="K6" s="17"/>
    </row>
    <row r="7" spans="1:11" ht="40.049999999999997" customHeight="1" x14ac:dyDescent="0.35">
      <c r="A7" s="28"/>
      <c r="B7" s="17" t="s">
        <v>29</v>
      </c>
      <c r="C7" s="17">
        <v>1.0999999999999999E-2</v>
      </c>
      <c r="D7" s="17" t="s">
        <v>54</v>
      </c>
      <c r="E7" s="17">
        <v>578655.34100000001</v>
      </c>
      <c r="F7" s="17" t="s">
        <v>30</v>
      </c>
      <c r="G7" s="18" t="s">
        <v>64</v>
      </c>
      <c r="H7" s="18">
        <f t="shared" ref="H7:H8" si="0">C7*E7</f>
        <v>6365.2087510000001</v>
      </c>
      <c r="I7" s="18" t="s">
        <v>28</v>
      </c>
      <c r="J7" s="17"/>
      <c r="K7" s="17"/>
    </row>
    <row r="8" spans="1:11" ht="40.049999999999997" customHeight="1" x14ac:dyDescent="0.35">
      <c r="A8" s="28"/>
      <c r="B8" s="17" t="s">
        <v>49</v>
      </c>
      <c r="C8" s="17">
        <v>3.0000000000000001E-3</v>
      </c>
      <c r="D8" s="17" t="s">
        <v>54</v>
      </c>
      <c r="E8" s="17">
        <v>578655.34100000001</v>
      </c>
      <c r="F8" s="17" t="s">
        <v>30</v>
      </c>
      <c r="G8" s="18" t="s">
        <v>65</v>
      </c>
      <c r="H8" s="18">
        <f t="shared" si="0"/>
        <v>1735.9660230000002</v>
      </c>
      <c r="I8" s="18" t="s">
        <v>28</v>
      </c>
      <c r="J8" s="17"/>
      <c r="K8" s="17"/>
    </row>
    <row r="9" spans="1:11" ht="51" customHeight="1" x14ac:dyDescent="0.35">
      <c r="A9" s="16" t="s">
        <v>77</v>
      </c>
      <c r="B9" s="17" t="s">
        <v>46</v>
      </c>
      <c r="C9" s="17">
        <v>0.6</v>
      </c>
      <c r="D9" s="17" t="s">
        <v>55</v>
      </c>
      <c r="E9" s="17">
        <v>223300.837</v>
      </c>
      <c r="F9" s="17" t="s">
        <v>30</v>
      </c>
      <c r="G9" s="18" t="s">
        <v>66</v>
      </c>
      <c r="H9" s="18">
        <f>(E9)*C9</f>
        <v>133980.50219999999</v>
      </c>
      <c r="I9" s="18" t="s">
        <v>28</v>
      </c>
      <c r="J9" s="17"/>
      <c r="K9" s="17"/>
    </row>
    <row r="10" spans="1:11" ht="40.049999999999997" customHeight="1" x14ac:dyDescent="0.35">
      <c r="A10" s="16" t="s">
        <v>31</v>
      </c>
      <c r="B10" s="17" t="s">
        <v>35</v>
      </c>
      <c r="C10" s="17">
        <v>0.3</v>
      </c>
      <c r="D10" s="17" t="s">
        <v>78</v>
      </c>
      <c r="E10" s="17">
        <v>366104.88900000002</v>
      </c>
      <c r="F10" s="17" t="s">
        <v>30</v>
      </c>
      <c r="G10" s="18" t="s">
        <v>67</v>
      </c>
      <c r="H10" s="18">
        <f>(K1-E10)*C10</f>
        <v>332968.53330000001</v>
      </c>
      <c r="I10" s="18" t="s">
        <v>28</v>
      </c>
      <c r="J10" s="17"/>
      <c r="K10" s="17"/>
    </row>
    <row r="11" spans="1:11" ht="40.049999999999997" customHeight="1" x14ac:dyDescent="0.35">
      <c r="A11" s="16" t="s">
        <v>68</v>
      </c>
      <c r="B11" s="17" t="s">
        <v>47</v>
      </c>
      <c r="C11" s="17">
        <v>1</v>
      </c>
      <c r="D11" s="17" t="s">
        <v>33</v>
      </c>
      <c r="E11" s="17">
        <v>457651.92200000002</v>
      </c>
      <c r="F11" s="17" t="s">
        <v>30</v>
      </c>
      <c r="G11" s="18" t="s">
        <v>69</v>
      </c>
      <c r="H11" s="18">
        <f>E11*C11</f>
        <v>457651.92200000002</v>
      </c>
      <c r="I11" s="18" t="s">
        <v>28</v>
      </c>
      <c r="J11" s="17"/>
      <c r="K11" s="17"/>
    </row>
    <row r="12" spans="1:11" ht="40.049999999999997" customHeight="1" x14ac:dyDescent="0.35">
      <c r="A12" s="16" t="s">
        <v>34</v>
      </c>
      <c r="B12" s="17" t="s">
        <v>35</v>
      </c>
      <c r="C12" s="17">
        <v>1.5</v>
      </c>
      <c r="D12" s="17" t="s">
        <v>78</v>
      </c>
      <c r="E12" s="17">
        <v>154634.18100000001</v>
      </c>
      <c r="F12" s="17" t="s">
        <v>30</v>
      </c>
      <c r="G12" s="18" t="s">
        <v>67</v>
      </c>
      <c r="H12" s="18">
        <f>(K1-E12)*C12</f>
        <v>1982048.7284999997</v>
      </c>
      <c r="I12" s="18" t="s">
        <v>28</v>
      </c>
      <c r="J12" s="17"/>
      <c r="K12" s="17"/>
    </row>
    <row r="13" spans="1:11" ht="40.049999999999997" customHeight="1" x14ac:dyDescent="0.35">
      <c r="A13" s="16" t="s">
        <v>70</v>
      </c>
      <c r="B13" s="17" t="s">
        <v>47</v>
      </c>
      <c r="C13" s="17">
        <v>4</v>
      </c>
      <c r="D13" s="17" t="s">
        <v>33</v>
      </c>
      <c r="E13" s="17">
        <v>1101322.7109999999</v>
      </c>
      <c r="F13" s="17" t="s">
        <v>30</v>
      </c>
      <c r="G13" s="18" t="s">
        <v>69</v>
      </c>
      <c r="H13" s="18">
        <f>E13/C13</f>
        <v>275330.67774999997</v>
      </c>
      <c r="I13" s="18" t="s">
        <v>28</v>
      </c>
      <c r="J13" s="17"/>
      <c r="K13" s="17"/>
    </row>
    <row r="14" spans="1:11" ht="40.049999999999997" customHeight="1" x14ac:dyDescent="0.35">
      <c r="A14" s="28" t="s">
        <v>71</v>
      </c>
      <c r="B14" s="17" t="s">
        <v>35</v>
      </c>
      <c r="C14" s="17">
        <v>0.5</v>
      </c>
      <c r="D14" s="17" t="s">
        <v>78</v>
      </c>
      <c r="E14" s="17">
        <v>351374.28399999999</v>
      </c>
      <c r="F14" s="17" t="s">
        <v>30</v>
      </c>
      <c r="G14" s="18" t="s">
        <v>67</v>
      </c>
      <c r="H14" s="18">
        <f>(K1-E14)*C14</f>
        <v>562312.85800000001</v>
      </c>
      <c r="I14" s="18" t="s">
        <v>28</v>
      </c>
      <c r="J14" s="17"/>
      <c r="K14" s="17"/>
    </row>
    <row r="15" spans="1:11" ht="40.049999999999997" customHeight="1" x14ac:dyDescent="0.35">
      <c r="A15" s="28"/>
      <c r="B15" s="17" t="s">
        <v>29</v>
      </c>
      <c r="C15" s="17">
        <v>0.6</v>
      </c>
      <c r="D15" s="17" t="s">
        <v>78</v>
      </c>
      <c r="E15" s="17">
        <v>351374.28399999999</v>
      </c>
      <c r="F15" s="17" t="s">
        <v>30</v>
      </c>
      <c r="G15" s="18" t="s">
        <v>64</v>
      </c>
      <c r="H15" s="18">
        <f>(K1-E15)*C15</f>
        <v>674775.42960000003</v>
      </c>
      <c r="I15" s="18" t="s">
        <v>28</v>
      </c>
      <c r="J15" s="17"/>
      <c r="K15" s="17"/>
    </row>
    <row r="16" spans="1:11" ht="40.049999999999997" customHeight="1" x14ac:dyDescent="0.35">
      <c r="A16" s="16" t="s">
        <v>79</v>
      </c>
      <c r="B16" s="17" t="s">
        <v>50</v>
      </c>
      <c r="C16" s="17">
        <v>4</v>
      </c>
      <c r="D16" s="17" t="s">
        <v>80</v>
      </c>
      <c r="E16" s="17">
        <v>151868.40400000001</v>
      </c>
      <c r="F16" s="17" t="s">
        <v>30</v>
      </c>
      <c r="G16" s="18" t="s">
        <v>81</v>
      </c>
      <c r="H16" s="18">
        <f>(K1-E16)*C16</f>
        <v>5296526.3839999996</v>
      </c>
      <c r="I16" s="18" t="s">
        <v>28</v>
      </c>
      <c r="J16" s="17"/>
      <c r="K16" s="17"/>
    </row>
    <row r="17" spans="1:11" ht="40.049999999999997" customHeight="1" x14ac:dyDescent="0.35">
      <c r="A17" s="28" t="s">
        <v>36</v>
      </c>
      <c r="B17" s="17" t="s">
        <v>37</v>
      </c>
      <c r="C17" s="17">
        <v>0.32</v>
      </c>
      <c r="D17" s="17" t="s">
        <v>38</v>
      </c>
      <c r="E17" s="17">
        <v>193136.07399999999</v>
      </c>
      <c r="F17" s="17" t="s">
        <v>30</v>
      </c>
      <c r="G17" s="18" t="s">
        <v>72</v>
      </c>
      <c r="H17" s="18">
        <f>E17*C17</f>
        <v>61803.543680000002</v>
      </c>
      <c r="I17" s="18" t="s">
        <v>28</v>
      </c>
      <c r="J17" s="17"/>
      <c r="K17" s="17"/>
    </row>
    <row r="18" spans="1:11" ht="40.049999999999997" customHeight="1" x14ac:dyDescent="0.35">
      <c r="A18" s="28"/>
      <c r="B18" s="17" t="s">
        <v>39</v>
      </c>
      <c r="C18" s="17">
        <v>0.08</v>
      </c>
      <c r="D18" s="17" t="s">
        <v>41</v>
      </c>
      <c r="E18" s="17">
        <v>193136.07399999999</v>
      </c>
      <c r="F18" s="17" t="s">
        <v>30</v>
      </c>
      <c r="G18" s="18" t="s">
        <v>73</v>
      </c>
      <c r="H18" s="18">
        <f>E18*C18</f>
        <v>15450.885920000001</v>
      </c>
      <c r="I18" s="18" t="s">
        <v>28</v>
      </c>
      <c r="J18" s="17"/>
      <c r="K18" s="17"/>
    </row>
    <row r="19" spans="1:11" ht="40.049999999999997" customHeight="1" x14ac:dyDescent="0.35">
      <c r="A19" s="28"/>
      <c r="B19" s="17" t="s">
        <v>40</v>
      </c>
      <c r="C19" s="17">
        <v>3</v>
      </c>
      <c r="D19" s="17" t="s">
        <v>42</v>
      </c>
      <c r="E19" s="17">
        <v>193136.07399999999</v>
      </c>
      <c r="F19" s="17" t="s">
        <v>30</v>
      </c>
      <c r="G19" s="18" t="s">
        <v>73</v>
      </c>
      <c r="H19" s="18">
        <f>E19*C19</f>
        <v>579408.22199999995</v>
      </c>
      <c r="I19" s="18" t="s">
        <v>28</v>
      </c>
      <c r="J19" s="17"/>
      <c r="K19" s="17"/>
    </row>
    <row r="20" spans="1:11" ht="40.049999999999997" customHeight="1" x14ac:dyDescent="0.35">
      <c r="A20" s="16" t="s">
        <v>43</v>
      </c>
      <c r="B20" s="17" t="s">
        <v>43</v>
      </c>
      <c r="C20" s="17">
        <v>4</v>
      </c>
      <c r="D20" s="17" t="s">
        <v>44</v>
      </c>
      <c r="E20" s="17">
        <v>187450</v>
      </c>
      <c r="F20" s="17" t="s">
        <v>30</v>
      </c>
      <c r="G20" s="18" t="s">
        <v>74</v>
      </c>
      <c r="H20" s="18">
        <f>E20*C20</f>
        <v>749800</v>
      </c>
      <c r="I20" s="18" t="s">
        <v>28</v>
      </c>
      <c r="J20" s="17"/>
      <c r="K20" s="17"/>
    </row>
  </sheetData>
  <mergeCells count="5">
    <mergeCell ref="D1:F1"/>
    <mergeCell ref="G1:I1"/>
    <mergeCell ref="A6:A8"/>
    <mergeCell ref="A14:A15"/>
    <mergeCell ref="A17:A19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ACB2-569E-4A2A-9EB7-FA64DF59DAC7}">
  <dimension ref="A1:K20"/>
  <sheetViews>
    <sheetView workbookViewId="0">
      <pane ySplit="1" topLeftCell="A2" activePane="bottomLeft" state="frozen"/>
      <selection pane="bottomLeft" activeCell="B8" sqref="B8"/>
    </sheetView>
  </sheetViews>
  <sheetFormatPr defaultColWidth="15.796875" defaultRowHeight="40.049999999999997" customHeight="1" x14ac:dyDescent="0.35"/>
  <cols>
    <col min="1" max="1" width="41" style="12" customWidth="1"/>
    <col min="2" max="2" width="15.796875" style="10"/>
    <col min="3" max="3" width="19.6640625" style="10" customWidth="1"/>
    <col min="4" max="4" width="17.46484375" style="10" customWidth="1"/>
    <col min="5" max="5" width="15.796875" style="10"/>
    <col min="6" max="6" width="13.33203125" style="10" customWidth="1"/>
    <col min="7" max="7" width="17.19921875" style="10" customWidth="1"/>
    <col min="8" max="16384" width="15.796875" style="10"/>
  </cols>
  <sheetData>
    <row r="1" spans="1:11" ht="40.049999999999997" customHeight="1" x14ac:dyDescent="0.35">
      <c r="A1" s="13" t="s">
        <v>84</v>
      </c>
      <c r="B1" s="15" t="s">
        <v>52</v>
      </c>
      <c r="C1" s="15" t="s">
        <v>58</v>
      </c>
      <c r="D1" s="27" t="s">
        <v>82</v>
      </c>
      <c r="E1" s="27"/>
      <c r="F1" s="27"/>
      <c r="G1" s="27" t="s">
        <v>53</v>
      </c>
      <c r="H1" s="27"/>
      <c r="I1" s="27"/>
      <c r="J1" s="15" t="s">
        <v>54</v>
      </c>
      <c r="K1" s="15">
        <v>1120000</v>
      </c>
    </row>
    <row r="2" spans="1:11" ht="40.049999999999997" customHeight="1" x14ac:dyDescent="0.35">
      <c r="A2" s="19" t="s">
        <v>91</v>
      </c>
      <c r="B2" s="17" t="s">
        <v>51</v>
      </c>
      <c r="C2" s="17">
        <v>410</v>
      </c>
      <c r="D2" s="17" t="s">
        <v>75</v>
      </c>
      <c r="E2" s="17">
        <f>K1</f>
        <v>1120000</v>
      </c>
      <c r="F2" s="17" t="s">
        <v>30</v>
      </c>
      <c r="G2" s="18" t="s">
        <v>59</v>
      </c>
      <c r="H2" s="18">
        <f>E2*C2</f>
        <v>459200000</v>
      </c>
      <c r="I2" s="18" t="s">
        <v>28</v>
      </c>
      <c r="J2" s="17"/>
      <c r="K2" s="17"/>
    </row>
    <row r="3" spans="1:11" ht="40.049999999999997" customHeight="1" x14ac:dyDescent="0.35">
      <c r="A3" s="19" t="s">
        <v>83</v>
      </c>
      <c r="B3" s="17" t="s">
        <v>51</v>
      </c>
      <c r="C3" s="17">
        <v>40</v>
      </c>
      <c r="D3" s="17" t="s">
        <v>57</v>
      </c>
      <c r="E3" s="17">
        <v>136129.73300000001</v>
      </c>
      <c r="F3" s="17" t="s">
        <v>30</v>
      </c>
      <c r="G3" s="18" t="s">
        <v>59</v>
      </c>
      <c r="H3" s="18">
        <f>(E2-E3)*C3</f>
        <v>39354810.68</v>
      </c>
      <c r="I3" s="18" t="s">
        <v>28</v>
      </c>
      <c r="J3" s="17"/>
      <c r="K3" s="17"/>
    </row>
    <row r="4" spans="1:11" ht="40.049999999999997" customHeight="1" x14ac:dyDescent="0.35">
      <c r="A4" s="19" t="s">
        <v>60</v>
      </c>
      <c r="B4" s="17" t="s">
        <v>35</v>
      </c>
      <c r="C4" s="17">
        <v>2.8000000000000001E-2</v>
      </c>
      <c r="D4" s="17" t="s">
        <v>75</v>
      </c>
      <c r="E4" s="17">
        <f>K1</f>
        <v>1120000</v>
      </c>
      <c r="F4" s="17" t="s">
        <v>30</v>
      </c>
      <c r="G4" s="18" t="s">
        <v>61</v>
      </c>
      <c r="H4" s="18">
        <f>C4*K1</f>
        <v>31360</v>
      </c>
      <c r="I4" s="18" t="s">
        <v>28</v>
      </c>
      <c r="J4" s="17"/>
      <c r="K4" s="17"/>
    </row>
    <row r="5" spans="1:11" ht="49.8" customHeight="1" x14ac:dyDescent="0.35">
      <c r="A5" s="19" t="s">
        <v>76</v>
      </c>
      <c r="B5" s="17" t="s">
        <v>46</v>
      </c>
      <c r="C5" s="17">
        <v>0.3</v>
      </c>
      <c r="D5" s="17" t="s">
        <v>56</v>
      </c>
      <c r="E5" s="17">
        <v>459578.42800000001</v>
      </c>
      <c r="F5" s="17" t="s">
        <v>30</v>
      </c>
      <c r="G5" s="18" t="s">
        <v>62</v>
      </c>
      <c r="H5" s="18">
        <f>(E5)*C5</f>
        <v>137873.52840000001</v>
      </c>
      <c r="I5" s="18" t="s">
        <v>28</v>
      </c>
      <c r="J5" s="17"/>
      <c r="K5" s="17"/>
    </row>
    <row r="6" spans="1:11" ht="40.049999999999997" customHeight="1" x14ac:dyDescent="0.35">
      <c r="A6" s="28" t="s">
        <v>32</v>
      </c>
      <c r="B6" s="17" t="s">
        <v>48</v>
      </c>
      <c r="C6" s="17">
        <v>3.0000000000000001E-3</v>
      </c>
      <c r="D6" s="17" t="s">
        <v>54</v>
      </c>
      <c r="E6" s="17">
        <f>E5</f>
        <v>459578.42800000001</v>
      </c>
      <c r="F6" s="17" t="s">
        <v>30</v>
      </c>
      <c r="G6" s="18" t="s">
        <v>63</v>
      </c>
      <c r="H6" s="18">
        <f>C6*E6</f>
        <v>1378.7352840000001</v>
      </c>
      <c r="I6" s="18" t="s">
        <v>28</v>
      </c>
      <c r="J6" s="17"/>
      <c r="K6" s="17"/>
    </row>
    <row r="7" spans="1:11" ht="40.049999999999997" customHeight="1" x14ac:dyDescent="0.35">
      <c r="A7" s="28"/>
      <c r="B7" s="17" t="s">
        <v>29</v>
      </c>
      <c r="C7" s="17">
        <v>1.0999999999999999E-2</v>
      </c>
      <c r="D7" s="17" t="s">
        <v>54</v>
      </c>
      <c r="E7" s="17">
        <f>E5</f>
        <v>459578.42800000001</v>
      </c>
      <c r="F7" s="17" t="s">
        <v>30</v>
      </c>
      <c r="G7" s="18" t="s">
        <v>64</v>
      </c>
      <c r="H7" s="18">
        <f t="shared" ref="H7:H8" si="0">C7*E7</f>
        <v>5055.3627079999997</v>
      </c>
      <c r="I7" s="18" t="s">
        <v>28</v>
      </c>
      <c r="J7" s="17"/>
      <c r="K7" s="17"/>
    </row>
    <row r="8" spans="1:11" ht="40.049999999999997" customHeight="1" x14ac:dyDescent="0.35">
      <c r="A8" s="28"/>
      <c r="B8" s="17" t="s">
        <v>49</v>
      </c>
      <c r="C8" s="17">
        <v>3.0000000000000001E-3</v>
      </c>
      <c r="D8" s="17" t="s">
        <v>54</v>
      </c>
      <c r="E8" s="17">
        <f>E5</f>
        <v>459578.42800000001</v>
      </c>
      <c r="F8" s="17" t="s">
        <v>30</v>
      </c>
      <c r="G8" s="18" t="s">
        <v>65</v>
      </c>
      <c r="H8" s="18">
        <f t="shared" si="0"/>
        <v>1378.7352840000001</v>
      </c>
      <c r="I8" s="18" t="s">
        <v>28</v>
      </c>
      <c r="J8" s="17"/>
      <c r="K8" s="17"/>
    </row>
    <row r="9" spans="1:11" ht="51" customHeight="1" x14ac:dyDescent="0.35">
      <c r="A9" s="19" t="s">
        <v>77</v>
      </c>
      <c r="B9" s="17" t="s">
        <v>46</v>
      </c>
      <c r="C9" s="17">
        <v>0.6</v>
      </c>
      <c r="D9" s="17" t="s">
        <v>55</v>
      </c>
      <c r="E9" s="17">
        <v>281921.07500000001</v>
      </c>
      <c r="F9" s="17" t="s">
        <v>30</v>
      </c>
      <c r="G9" s="18" t="s">
        <v>66</v>
      </c>
      <c r="H9" s="18">
        <f>(E9)*C9</f>
        <v>169152.64499999999</v>
      </c>
      <c r="I9" s="18" t="s">
        <v>28</v>
      </c>
      <c r="J9" s="17"/>
      <c r="K9" s="17"/>
    </row>
    <row r="10" spans="1:11" ht="40.049999999999997" customHeight="1" x14ac:dyDescent="0.35">
      <c r="A10" s="19" t="s">
        <v>31</v>
      </c>
      <c r="B10" s="17" t="s">
        <v>35</v>
      </c>
      <c r="C10" s="17">
        <v>0.3</v>
      </c>
      <c r="D10" s="17" t="s">
        <v>78</v>
      </c>
      <c r="E10" s="17">
        <v>346295.04499999998</v>
      </c>
      <c r="F10" s="17" t="s">
        <v>30</v>
      </c>
      <c r="G10" s="18" t="s">
        <v>67</v>
      </c>
      <c r="H10" s="18">
        <f>(K1-E10)*C10</f>
        <v>232111.48650000003</v>
      </c>
      <c r="I10" s="18" t="s">
        <v>28</v>
      </c>
      <c r="J10" s="17"/>
      <c r="K10" s="17"/>
    </row>
    <row r="11" spans="1:11" ht="40.049999999999997" customHeight="1" x14ac:dyDescent="0.35">
      <c r="A11" s="19" t="s">
        <v>68</v>
      </c>
      <c r="B11" s="17" t="s">
        <v>47</v>
      </c>
      <c r="C11" s="17">
        <v>1</v>
      </c>
      <c r="D11" s="17" t="s">
        <v>33</v>
      </c>
      <c r="E11" s="17">
        <v>416114.98300000001</v>
      </c>
      <c r="F11" s="17" t="s">
        <v>30</v>
      </c>
      <c r="G11" s="18" t="s">
        <v>69</v>
      </c>
      <c r="H11" s="18">
        <f>E11*C11</f>
        <v>416114.98300000001</v>
      </c>
      <c r="I11" s="18" t="s">
        <v>28</v>
      </c>
      <c r="J11" s="17"/>
      <c r="K11" s="17"/>
    </row>
    <row r="12" spans="1:11" ht="40.049999999999997" customHeight="1" x14ac:dyDescent="0.35">
      <c r="A12" s="19" t="s">
        <v>34</v>
      </c>
      <c r="B12" s="17" t="s">
        <v>35</v>
      </c>
      <c r="C12" s="17">
        <v>1.5</v>
      </c>
      <c r="D12" s="17" t="s">
        <v>78</v>
      </c>
      <c r="E12" s="17">
        <v>105074.47500000001</v>
      </c>
      <c r="F12" s="17" t="s">
        <v>30</v>
      </c>
      <c r="G12" s="18" t="s">
        <v>67</v>
      </c>
      <c r="H12" s="18">
        <f>(K1-E12)*C12</f>
        <v>1522388.2875000001</v>
      </c>
      <c r="I12" s="18" t="s">
        <v>28</v>
      </c>
      <c r="J12" s="17"/>
      <c r="K12" s="17"/>
    </row>
    <row r="13" spans="1:11" ht="40.049999999999997" customHeight="1" x14ac:dyDescent="0.35">
      <c r="A13" s="19" t="s">
        <v>70</v>
      </c>
      <c r="B13" s="17" t="s">
        <v>47</v>
      </c>
      <c r="C13" s="17">
        <v>4</v>
      </c>
      <c r="D13" s="17" t="s">
        <v>33</v>
      </c>
      <c r="E13" s="17">
        <v>846901.52099999995</v>
      </c>
      <c r="F13" s="17" t="s">
        <v>30</v>
      </c>
      <c r="G13" s="18" t="s">
        <v>69</v>
      </c>
      <c r="H13" s="18">
        <f>E13/C13</f>
        <v>211725.38024999999</v>
      </c>
      <c r="I13" s="18" t="s">
        <v>28</v>
      </c>
      <c r="J13" s="17"/>
      <c r="K13" s="17"/>
    </row>
    <row r="14" spans="1:11" ht="40.049999999999997" customHeight="1" x14ac:dyDescent="0.35">
      <c r="A14" s="28" t="s">
        <v>71</v>
      </c>
      <c r="B14" s="17" t="s">
        <v>35</v>
      </c>
      <c r="C14" s="17">
        <v>0.5</v>
      </c>
      <c r="D14" s="17" t="s">
        <v>78</v>
      </c>
      <c r="E14" s="17">
        <v>286532.92300000001</v>
      </c>
      <c r="F14" s="17" t="s">
        <v>30</v>
      </c>
      <c r="G14" s="18" t="s">
        <v>67</v>
      </c>
      <c r="H14" s="18">
        <f>(K1-E14)*C14</f>
        <v>416733.53850000002</v>
      </c>
      <c r="I14" s="18" t="s">
        <v>28</v>
      </c>
      <c r="J14" s="17"/>
      <c r="K14" s="17"/>
    </row>
    <row r="15" spans="1:11" ht="40.049999999999997" customHeight="1" x14ac:dyDescent="0.35">
      <c r="A15" s="28"/>
      <c r="B15" s="17" t="s">
        <v>29</v>
      </c>
      <c r="C15" s="17">
        <v>0.6</v>
      </c>
      <c r="D15" s="17" t="s">
        <v>78</v>
      </c>
      <c r="E15" s="17">
        <f>E14</f>
        <v>286532.92300000001</v>
      </c>
      <c r="F15" s="17" t="s">
        <v>30</v>
      </c>
      <c r="G15" s="18" t="s">
        <v>64</v>
      </c>
      <c r="H15" s="18">
        <f>(K1-E15)*C15</f>
        <v>500080.24619999999</v>
      </c>
      <c r="I15" s="18" t="s">
        <v>28</v>
      </c>
      <c r="J15" s="17"/>
      <c r="K15" s="17"/>
    </row>
    <row r="16" spans="1:11" ht="40.049999999999997" customHeight="1" x14ac:dyDescent="0.35">
      <c r="A16" s="19" t="s">
        <v>79</v>
      </c>
      <c r="B16" s="17" t="s">
        <v>50</v>
      </c>
      <c r="C16" s="17">
        <v>4</v>
      </c>
      <c r="D16" s="17" t="s">
        <v>80</v>
      </c>
      <c r="E16" s="17">
        <v>127337.927</v>
      </c>
      <c r="F16" s="17" t="s">
        <v>30</v>
      </c>
      <c r="G16" s="18" t="s">
        <v>81</v>
      </c>
      <c r="H16" s="18">
        <f>(K1-E16)*C16</f>
        <v>3970648.2919999999</v>
      </c>
      <c r="I16" s="18" t="s">
        <v>28</v>
      </c>
      <c r="J16" s="17"/>
      <c r="K16" s="17"/>
    </row>
    <row r="17" spans="1:11" ht="40.049999999999997" customHeight="1" x14ac:dyDescent="0.35">
      <c r="A17" s="28" t="s">
        <v>36</v>
      </c>
      <c r="B17" s="17" t="s">
        <v>37</v>
      </c>
      <c r="C17" s="17">
        <v>0.32</v>
      </c>
      <c r="D17" s="17" t="s">
        <v>38</v>
      </c>
      <c r="E17" s="17">
        <v>162869.48000000001</v>
      </c>
      <c r="F17" s="17" t="s">
        <v>30</v>
      </c>
      <c r="G17" s="18" t="s">
        <v>72</v>
      </c>
      <c r="H17" s="18">
        <f>E17*C17</f>
        <v>52118.233600000007</v>
      </c>
      <c r="I17" s="18" t="s">
        <v>28</v>
      </c>
      <c r="J17" s="17"/>
      <c r="K17" s="17"/>
    </row>
    <row r="18" spans="1:11" ht="40.049999999999997" customHeight="1" x14ac:dyDescent="0.35">
      <c r="A18" s="28"/>
      <c r="B18" s="17" t="s">
        <v>39</v>
      </c>
      <c r="C18" s="17">
        <v>0.08</v>
      </c>
      <c r="D18" s="17" t="s">
        <v>41</v>
      </c>
      <c r="E18" s="17">
        <f>E17</f>
        <v>162869.48000000001</v>
      </c>
      <c r="F18" s="17" t="s">
        <v>30</v>
      </c>
      <c r="G18" s="18" t="s">
        <v>73</v>
      </c>
      <c r="H18" s="18">
        <f>E18*C18</f>
        <v>13029.558400000002</v>
      </c>
      <c r="I18" s="18" t="s">
        <v>28</v>
      </c>
      <c r="J18" s="17"/>
      <c r="K18" s="17"/>
    </row>
    <row r="19" spans="1:11" ht="40.049999999999997" customHeight="1" x14ac:dyDescent="0.35">
      <c r="A19" s="28"/>
      <c r="B19" s="17" t="s">
        <v>40</v>
      </c>
      <c r="C19" s="17">
        <v>3</v>
      </c>
      <c r="D19" s="17" t="s">
        <v>42</v>
      </c>
      <c r="E19" s="17">
        <f>E17</f>
        <v>162869.48000000001</v>
      </c>
      <c r="F19" s="17" t="s">
        <v>30</v>
      </c>
      <c r="G19" s="18" t="s">
        <v>73</v>
      </c>
      <c r="H19" s="18">
        <f>E19*C19</f>
        <v>488608.44000000006</v>
      </c>
      <c r="I19" s="18" t="s">
        <v>28</v>
      </c>
      <c r="J19" s="17"/>
      <c r="K19" s="17"/>
    </row>
    <row r="20" spans="1:11" ht="40.049999999999997" customHeight="1" x14ac:dyDescent="0.35">
      <c r="A20" s="19" t="s">
        <v>43</v>
      </c>
      <c r="B20" s="17" t="s">
        <v>43</v>
      </c>
      <c r="C20" s="17">
        <v>4</v>
      </c>
      <c r="D20" s="17" t="s">
        <v>44</v>
      </c>
      <c r="E20" s="17">
        <v>149950</v>
      </c>
      <c r="F20" s="17" t="s">
        <v>30</v>
      </c>
      <c r="G20" s="18" t="s">
        <v>74</v>
      </c>
      <c r="H20" s="18">
        <f>E20*C20</f>
        <v>599800</v>
      </c>
      <c r="I20" s="18" t="s">
        <v>28</v>
      </c>
      <c r="J20" s="17"/>
      <c r="K20" s="17"/>
    </row>
  </sheetData>
  <mergeCells count="5">
    <mergeCell ref="D1:F1"/>
    <mergeCell ref="G1:I1"/>
    <mergeCell ref="A6:A8"/>
    <mergeCell ref="A14:A15"/>
    <mergeCell ref="A17:A19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60E1-28D1-456D-A529-B764C9F95815}">
  <dimension ref="A1:K20"/>
  <sheetViews>
    <sheetView workbookViewId="0">
      <pane ySplit="1" topLeftCell="A2" activePane="bottomLeft" state="frozen"/>
      <selection pane="bottomLeft" activeCell="A12" sqref="A12"/>
    </sheetView>
  </sheetViews>
  <sheetFormatPr defaultColWidth="15.796875" defaultRowHeight="40.049999999999997" customHeight="1" x14ac:dyDescent="0.35"/>
  <cols>
    <col min="1" max="1" width="41" style="12" customWidth="1"/>
    <col min="2" max="2" width="15.796875" style="10"/>
    <col min="3" max="3" width="19.6640625" style="10" customWidth="1"/>
    <col min="4" max="4" width="17.46484375" style="10" customWidth="1"/>
    <col min="5" max="5" width="15.796875" style="10"/>
    <col min="6" max="6" width="13.33203125" style="10" customWidth="1"/>
    <col min="7" max="7" width="17.19921875" style="10" customWidth="1"/>
    <col min="8" max="16384" width="15.796875" style="10"/>
  </cols>
  <sheetData>
    <row r="1" spans="1:11" ht="40.049999999999997" customHeight="1" x14ac:dyDescent="0.35">
      <c r="A1" s="13" t="s">
        <v>85</v>
      </c>
      <c r="B1" s="15" t="s">
        <v>52</v>
      </c>
      <c r="C1" s="15" t="s">
        <v>58</v>
      </c>
      <c r="D1" s="27" t="s">
        <v>82</v>
      </c>
      <c r="E1" s="27"/>
      <c r="F1" s="27"/>
      <c r="G1" s="27" t="s">
        <v>53</v>
      </c>
      <c r="H1" s="27"/>
      <c r="I1" s="27"/>
      <c r="J1" s="15" t="s">
        <v>54</v>
      </c>
      <c r="K1" s="15">
        <f>1000*1800</f>
        <v>1800000</v>
      </c>
    </row>
    <row r="2" spans="1:11" ht="40.049999999999997" customHeight="1" x14ac:dyDescent="0.35">
      <c r="A2" s="19" t="s">
        <v>91</v>
      </c>
      <c r="B2" s="17" t="s">
        <v>51</v>
      </c>
      <c r="C2" s="17">
        <v>410</v>
      </c>
      <c r="D2" s="17" t="s">
        <v>75</v>
      </c>
      <c r="E2" s="17">
        <f>K1</f>
        <v>1800000</v>
      </c>
      <c r="F2" s="17" t="s">
        <v>30</v>
      </c>
      <c r="G2" s="18" t="s">
        <v>59</v>
      </c>
      <c r="H2" s="18">
        <f>E2*C2</f>
        <v>738000000</v>
      </c>
      <c r="I2" s="18" t="s">
        <v>28</v>
      </c>
      <c r="J2" s="17"/>
      <c r="K2" s="17"/>
    </row>
    <row r="3" spans="1:11" ht="40.049999999999997" customHeight="1" x14ac:dyDescent="0.35">
      <c r="A3" s="19" t="s">
        <v>83</v>
      </c>
      <c r="B3" s="17" t="s">
        <v>51</v>
      </c>
      <c r="C3" s="17">
        <v>40</v>
      </c>
      <c r="D3" s="17" t="s">
        <v>57</v>
      </c>
      <c r="E3" s="17">
        <v>148845.29</v>
      </c>
      <c r="F3" s="17" t="s">
        <v>30</v>
      </c>
      <c r="G3" s="18" t="s">
        <v>59</v>
      </c>
      <c r="H3" s="18">
        <f>(E2-E3)*C3</f>
        <v>66046188.399999999</v>
      </c>
      <c r="I3" s="18" t="s">
        <v>28</v>
      </c>
      <c r="J3" s="17"/>
      <c r="K3" s="17"/>
    </row>
    <row r="4" spans="1:11" ht="40.049999999999997" customHeight="1" x14ac:dyDescent="0.35">
      <c r="A4" s="19" t="s">
        <v>60</v>
      </c>
      <c r="B4" s="17" t="s">
        <v>35</v>
      </c>
      <c r="C4" s="17">
        <v>2.8000000000000001E-2</v>
      </c>
      <c r="D4" s="17" t="s">
        <v>75</v>
      </c>
      <c r="E4" s="17">
        <f>K1</f>
        <v>1800000</v>
      </c>
      <c r="F4" s="17" t="s">
        <v>30</v>
      </c>
      <c r="G4" s="18" t="s">
        <v>61</v>
      </c>
      <c r="H4" s="18">
        <f>C4*K1</f>
        <v>50400</v>
      </c>
      <c r="I4" s="18" t="s">
        <v>28</v>
      </c>
      <c r="J4" s="17"/>
      <c r="K4" s="17"/>
    </row>
    <row r="5" spans="1:11" ht="49.8" customHeight="1" x14ac:dyDescent="0.35">
      <c r="A5" s="19" t="s">
        <v>76</v>
      </c>
      <c r="B5" s="17" t="s">
        <v>46</v>
      </c>
      <c r="C5" s="17">
        <v>0.3</v>
      </c>
      <c r="D5" s="17" t="s">
        <v>56</v>
      </c>
      <c r="E5" s="17">
        <v>762881.51500000001</v>
      </c>
      <c r="F5" s="17" t="s">
        <v>30</v>
      </c>
      <c r="G5" s="18" t="s">
        <v>62</v>
      </c>
      <c r="H5" s="18">
        <f>(E5)*C5</f>
        <v>228864.45449999999</v>
      </c>
      <c r="I5" s="18" t="s">
        <v>28</v>
      </c>
      <c r="J5" s="17"/>
      <c r="K5" s="17"/>
    </row>
    <row r="6" spans="1:11" ht="40.049999999999997" customHeight="1" x14ac:dyDescent="0.35">
      <c r="A6" s="28" t="s">
        <v>32</v>
      </c>
      <c r="B6" s="17" t="s">
        <v>48</v>
      </c>
      <c r="C6" s="17">
        <v>3.0000000000000001E-3</v>
      </c>
      <c r="D6" s="17" t="s">
        <v>54</v>
      </c>
      <c r="E6" s="17">
        <f>E5</f>
        <v>762881.51500000001</v>
      </c>
      <c r="F6" s="17" t="s">
        <v>30</v>
      </c>
      <c r="G6" s="18" t="s">
        <v>63</v>
      </c>
      <c r="H6" s="18">
        <f>C6*E6</f>
        <v>2288.6445450000001</v>
      </c>
      <c r="I6" s="18" t="s">
        <v>28</v>
      </c>
      <c r="J6" s="17"/>
      <c r="K6" s="17"/>
    </row>
    <row r="7" spans="1:11" ht="40.049999999999997" customHeight="1" x14ac:dyDescent="0.35">
      <c r="A7" s="28"/>
      <c r="B7" s="17" t="s">
        <v>29</v>
      </c>
      <c r="C7" s="17">
        <v>1.0999999999999999E-2</v>
      </c>
      <c r="D7" s="17" t="s">
        <v>54</v>
      </c>
      <c r="E7" s="17">
        <f>E5</f>
        <v>762881.51500000001</v>
      </c>
      <c r="F7" s="17" t="s">
        <v>30</v>
      </c>
      <c r="G7" s="18" t="s">
        <v>64</v>
      </c>
      <c r="H7" s="18">
        <f t="shared" ref="H7:H8" si="0">C7*E7</f>
        <v>8391.6966649999995</v>
      </c>
      <c r="I7" s="18" t="s">
        <v>28</v>
      </c>
      <c r="J7" s="17"/>
      <c r="K7" s="17"/>
    </row>
    <row r="8" spans="1:11" ht="40.049999999999997" customHeight="1" x14ac:dyDescent="0.35">
      <c r="A8" s="28"/>
      <c r="B8" s="17" t="s">
        <v>49</v>
      </c>
      <c r="C8" s="17">
        <v>3.0000000000000001E-3</v>
      </c>
      <c r="D8" s="17" t="s">
        <v>54</v>
      </c>
      <c r="E8" s="17">
        <f>E5</f>
        <v>762881.51500000001</v>
      </c>
      <c r="F8" s="17" t="s">
        <v>30</v>
      </c>
      <c r="G8" s="18" t="s">
        <v>65</v>
      </c>
      <c r="H8" s="18">
        <f t="shared" si="0"/>
        <v>2288.6445450000001</v>
      </c>
      <c r="I8" s="18" t="s">
        <v>28</v>
      </c>
      <c r="J8" s="17"/>
      <c r="K8" s="17"/>
    </row>
    <row r="9" spans="1:11" ht="51" customHeight="1" x14ac:dyDescent="0.35">
      <c r="A9" s="19" t="s">
        <v>77</v>
      </c>
      <c r="B9" s="17" t="s">
        <v>46</v>
      </c>
      <c r="C9" s="17">
        <v>0.6</v>
      </c>
      <c r="D9" s="17" t="s">
        <v>55</v>
      </c>
      <c r="E9" s="17">
        <v>284228.967</v>
      </c>
      <c r="F9" s="17" t="s">
        <v>30</v>
      </c>
      <c r="G9" s="18" t="s">
        <v>66</v>
      </c>
      <c r="H9" s="18">
        <f>(E9)*C9</f>
        <v>170537.38019999999</v>
      </c>
      <c r="I9" s="18" t="s">
        <v>28</v>
      </c>
      <c r="J9" s="17"/>
      <c r="K9" s="17"/>
    </row>
    <row r="10" spans="1:11" ht="40.049999999999997" customHeight="1" x14ac:dyDescent="0.35">
      <c r="A10" s="19" t="s">
        <v>31</v>
      </c>
      <c r="B10" s="17" t="s">
        <v>35</v>
      </c>
      <c r="C10" s="17">
        <v>0.3</v>
      </c>
      <c r="D10" s="17" t="s">
        <v>78</v>
      </c>
      <c r="E10" s="17">
        <v>488674.81699999998</v>
      </c>
      <c r="F10" s="17" t="s">
        <v>30</v>
      </c>
      <c r="G10" s="18" t="s">
        <v>67</v>
      </c>
      <c r="H10" s="18">
        <f>(K1-E10)*C10</f>
        <v>393397.55489999999</v>
      </c>
      <c r="I10" s="18" t="s">
        <v>28</v>
      </c>
      <c r="J10" s="17"/>
      <c r="K10" s="17"/>
    </row>
    <row r="11" spans="1:11" ht="40.049999999999997" customHeight="1" x14ac:dyDescent="0.35">
      <c r="A11" s="19" t="s">
        <v>68</v>
      </c>
      <c r="B11" s="17" t="s">
        <v>47</v>
      </c>
      <c r="C11" s="17">
        <v>1</v>
      </c>
      <c r="D11" s="17" t="s">
        <v>33</v>
      </c>
      <c r="E11" s="17">
        <v>614108.86100000003</v>
      </c>
      <c r="F11" s="17" t="s">
        <v>30</v>
      </c>
      <c r="G11" s="18" t="s">
        <v>69</v>
      </c>
      <c r="H11" s="18">
        <f>E11*C11</f>
        <v>614108.86100000003</v>
      </c>
      <c r="I11" s="18" t="s">
        <v>28</v>
      </c>
      <c r="J11" s="17"/>
      <c r="K11" s="17"/>
    </row>
    <row r="12" spans="1:11" ht="40.049999999999997" customHeight="1" x14ac:dyDescent="0.35">
      <c r="A12" s="19" t="s">
        <v>34</v>
      </c>
      <c r="B12" s="17" t="s">
        <v>35</v>
      </c>
      <c r="C12" s="17">
        <v>1.5</v>
      </c>
      <c r="D12" s="17" t="s">
        <v>78</v>
      </c>
      <c r="E12" s="17">
        <v>212644.087</v>
      </c>
      <c r="F12" s="17" t="s">
        <v>30</v>
      </c>
      <c r="G12" s="18" t="s">
        <v>67</v>
      </c>
      <c r="H12" s="18">
        <f>(K1-E12)*C12</f>
        <v>2381033.8695</v>
      </c>
      <c r="I12" s="18" t="s">
        <v>28</v>
      </c>
      <c r="J12" s="17"/>
      <c r="K12" s="17"/>
    </row>
    <row r="13" spans="1:11" ht="40.049999999999997" customHeight="1" x14ac:dyDescent="0.35">
      <c r="A13" s="19" t="s">
        <v>70</v>
      </c>
      <c r="B13" s="17" t="s">
        <v>47</v>
      </c>
      <c r="C13" s="17">
        <v>4</v>
      </c>
      <c r="D13" s="17" t="s">
        <v>33</v>
      </c>
      <c r="E13" s="17">
        <v>1341493.74</v>
      </c>
      <c r="F13" s="17" t="s">
        <v>30</v>
      </c>
      <c r="G13" s="18" t="s">
        <v>69</v>
      </c>
      <c r="H13" s="18">
        <f>E13/C13</f>
        <v>335373.435</v>
      </c>
      <c r="I13" s="18" t="s">
        <v>28</v>
      </c>
      <c r="J13" s="17"/>
      <c r="K13" s="17"/>
    </row>
    <row r="14" spans="1:11" ht="40.049999999999997" customHeight="1" x14ac:dyDescent="0.35">
      <c r="A14" s="28" t="s">
        <v>71</v>
      </c>
      <c r="B14" s="17" t="s">
        <v>35</v>
      </c>
      <c r="C14" s="17">
        <v>0.5</v>
      </c>
      <c r="D14" s="17" t="s">
        <v>78</v>
      </c>
      <c r="E14" s="17">
        <v>417212.54700000002</v>
      </c>
      <c r="F14" s="17" t="s">
        <v>30</v>
      </c>
      <c r="G14" s="18" t="s">
        <v>67</v>
      </c>
      <c r="H14" s="18">
        <f>(K1-E14)*C14</f>
        <v>691393.72649999999</v>
      </c>
      <c r="I14" s="18" t="s">
        <v>28</v>
      </c>
      <c r="J14" s="17"/>
      <c r="K14" s="17"/>
    </row>
    <row r="15" spans="1:11" ht="40.049999999999997" customHeight="1" x14ac:dyDescent="0.35">
      <c r="A15" s="28"/>
      <c r="B15" s="17" t="s">
        <v>29</v>
      </c>
      <c r="C15" s="17">
        <v>0.6</v>
      </c>
      <c r="D15" s="17" t="s">
        <v>78</v>
      </c>
      <c r="E15" s="17">
        <f>E14</f>
        <v>417212.54700000002</v>
      </c>
      <c r="F15" s="17" t="s">
        <v>30</v>
      </c>
      <c r="G15" s="18" t="s">
        <v>64</v>
      </c>
      <c r="H15" s="18">
        <f>(K1-E15)*C15</f>
        <v>829672.47179999994</v>
      </c>
      <c r="I15" s="18" t="s">
        <v>28</v>
      </c>
      <c r="J15" s="17"/>
      <c r="K15" s="17"/>
    </row>
    <row r="16" spans="1:11" ht="40.049999999999997" customHeight="1" x14ac:dyDescent="0.35">
      <c r="A16" s="19" t="s">
        <v>79</v>
      </c>
      <c r="B16" s="17" t="s">
        <v>50</v>
      </c>
      <c r="C16" s="17">
        <v>4</v>
      </c>
      <c r="D16" s="17" t="s">
        <v>80</v>
      </c>
      <c r="E16" s="17">
        <v>213516.48199999999</v>
      </c>
      <c r="F16" s="17" t="s">
        <v>30</v>
      </c>
      <c r="G16" s="18" t="s">
        <v>81</v>
      </c>
      <c r="H16" s="18">
        <f>(K1-E16)*C16</f>
        <v>6345934.0719999997</v>
      </c>
      <c r="I16" s="18" t="s">
        <v>28</v>
      </c>
      <c r="J16" s="17"/>
      <c r="K16" s="17"/>
    </row>
    <row r="17" spans="1:11" ht="40.049999999999997" customHeight="1" x14ac:dyDescent="0.35">
      <c r="A17" s="28" t="s">
        <v>36</v>
      </c>
      <c r="B17" s="17" t="s">
        <v>37</v>
      </c>
      <c r="C17" s="17">
        <v>0.32</v>
      </c>
      <c r="D17" s="17" t="s">
        <v>38</v>
      </c>
      <c r="E17" s="17">
        <v>269877.179</v>
      </c>
      <c r="F17" s="17" t="s">
        <v>30</v>
      </c>
      <c r="G17" s="18" t="s">
        <v>72</v>
      </c>
      <c r="H17" s="18">
        <f>E17*C17</f>
        <v>86360.697280000008</v>
      </c>
      <c r="I17" s="18" t="s">
        <v>28</v>
      </c>
      <c r="J17" s="17"/>
      <c r="K17" s="17"/>
    </row>
    <row r="18" spans="1:11" ht="40.049999999999997" customHeight="1" x14ac:dyDescent="0.35">
      <c r="A18" s="28"/>
      <c r="B18" s="17" t="s">
        <v>39</v>
      </c>
      <c r="C18" s="17">
        <v>0.08</v>
      </c>
      <c r="D18" s="17" t="s">
        <v>41</v>
      </c>
      <c r="E18" s="17">
        <f>E17</f>
        <v>269877.179</v>
      </c>
      <c r="F18" s="17" t="s">
        <v>30</v>
      </c>
      <c r="G18" s="18" t="s">
        <v>73</v>
      </c>
      <c r="H18" s="18">
        <f>E18*C18</f>
        <v>21590.174320000002</v>
      </c>
      <c r="I18" s="18" t="s">
        <v>28</v>
      </c>
      <c r="J18" s="17"/>
      <c r="K18" s="17"/>
    </row>
    <row r="19" spans="1:11" ht="40.049999999999997" customHeight="1" x14ac:dyDescent="0.35">
      <c r="A19" s="28"/>
      <c r="B19" s="17" t="s">
        <v>40</v>
      </c>
      <c r="C19" s="17">
        <v>3</v>
      </c>
      <c r="D19" s="17" t="s">
        <v>42</v>
      </c>
      <c r="E19" s="17">
        <f>E17</f>
        <v>269877.179</v>
      </c>
      <c r="F19" s="17" t="s">
        <v>30</v>
      </c>
      <c r="G19" s="18" t="s">
        <v>73</v>
      </c>
      <c r="H19" s="18">
        <f>E19*C19</f>
        <v>809631.53700000001</v>
      </c>
      <c r="I19" s="18" t="s">
        <v>28</v>
      </c>
      <c r="J19" s="17"/>
      <c r="K19" s="17"/>
    </row>
    <row r="20" spans="1:11" ht="40.049999999999997" customHeight="1" x14ac:dyDescent="0.35">
      <c r="A20" s="19" t="s">
        <v>43</v>
      </c>
      <c r="B20" s="17" t="s">
        <v>43</v>
      </c>
      <c r="C20" s="17">
        <v>4</v>
      </c>
      <c r="D20" s="17" t="s">
        <v>44</v>
      </c>
      <c r="E20" s="17">
        <v>187450</v>
      </c>
      <c r="F20" s="17" t="s">
        <v>30</v>
      </c>
      <c r="G20" s="18" t="s">
        <v>74</v>
      </c>
      <c r="H20" s="18">
        <f>E20*C20</f>
        <v>749800</v>
      </c>
      <c r="I20" s="18" t="s">
        <v>28</v>
      </c>
      <c r="J20" s="17"/>
      <c r="K20" s="17"/>
    </row>
  </sheetData>
  <mergeCells count="5">
    <mergeCell ref="D1:F1"/>
    <mergeCell ref="G1:I1"/>
    <mergeCell ref="A6:A8"/>
    <mergeCell ref="A14:A15"/>
    <mergeCell ref="A17:A19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71016-2049-44B8-9A7C-392758635C74}">
  <dimension ref="A1:K20"/>
  <sheetViews>
    <sheetView topLeftCell="B1" workbookViewId="0">
      <pane ySplit="1" topLeftCell="A2" activePane="bottomLeft" state="frozen"/>
      <selection pane="bottomLeft" activeCell="E2" sqref="E2"/>
    </sheetView>
  </sheetViews>
  <sheetFormatPr defaultColWidth="15.796875" defaultRowHeight="40.049999999999997" customHeight="1" x14ac:dyDescent="0.35"/>
  <cols>
    <col min="1" max="1" width="41" style="12" customWidth="1"/>
    <col min="2" max="2" width="15.796875" style="10"/>
    <col min="3" max="3" width="19.6640625" style="10" customWidth="1"/>
    <col min="4" max="4" width="17.46484375" style="10" customWidth="1"/>
    <col min="5" max="5" width="15.796875" style="10"/>
    <col min="6" max="6" width="13.33203125" style="10" customWidth="1"/>
    <col min="7" max="7" width="17.19921875" style="10" customWidth="1"/>
    <col min="8" max="16384" width="15.796875" style="10"/>
  </cols>
  <sheetData>
    <row r="1" spans="1:11" ht="40.049999999999997" customHeight="1" x14ac:dyDescent="0.35">
      <c r="A1" s="13" t="s">
        <v>86</v>
      </c>
      <c r="B1" s="15" t="s">
        <v>52</v>
      </c>
      <c r="C1" s="15" t="s">
        <v>58</v>
      </c>
      <c r="D1" s="27" t="s">
        <v>82</v>
      </c>
      <c r="E1" s="27"/>
      <c r="F1" s="27"/>
      <c r="G1" s="27" t="s">
        <v>53</v>
      </c>
      <c r="H1" s="27"/>
      <c r="I1" s="27"/>
      <c r="J1" s="15" t="s">
        <v>54</v>
      </c>
      <c r="K1" s="15">
        <f>1000*1800</f>
        <v>1800000</v>
      </c>
    </row>
    <row r="2" spans="1:11" ht="40.049999999999997" customHeight="1" x14ac:dyDescent="0.35">
      <c r="A2" s="19" t="s">
        <v>91</v>
      </c>
      <c r="B2" s="17" t="s">
        <v>51</v>
      </c>
      <c r="C2" s="17">
        <v>410</v>
      </c>
      <c r="D2" s="17" t="s">
        <v>75</v>
      </c>
      <c r="E2" s="17">
        <f>K1</f>
        <v>1800000</v>
      </c>
      <c r="F2" s="17" t="s">
        <v>30</v>
      </c>
      <c r="G2" s="18" t="s">
        <v>59</v>
      </c>
      <c r="H2" s="18">
        <f>E2*C2</f>
        <v>738000000</v>
      </c>
      <c r="I2" s="18" t="s">
        <v>28</v>
      </c>
      <c r="J2" s="17"/>
      <c r="K2" s="17"/>
    </row>
    <row r="3" spans="1:11" ht="40.049999999999997" customHeight="1" x14ac:dyDescent="0.35">
      <c r="A3" s="19" t="s">
        <v>83</v>
      </c>
      <c r="B3" s="17" t="s">
        <v>51</v>
      </c>
      <c r="C3" s="17">
        <v>40</v>
      </c>
      <c r="D3" s="17" t="s">
        <v>57</v>
      </c>
      <c r="E3" s="17">
        <v>104030.539</v>
      </c>
      <c r="F3" s="17" t="s">
        <v>30</v>
      </c>
      <c r="G3" s="18" t="s">
        <v>59</v>
      </c>
      <c r="H3" s="18">
        <f>(E2-E3)*C3</f>
        <v>67838778.439999998</v>
      </c>
      <c r="I3" s="18" t="s">
        <v>28</v>
      </c>
      <c r="J3" s="17"/>
      <c r="K3" s="17"/>
    </row>
    <row r="4" spans="1:11" ht="40.049999999999997" customHeight="1" x14ac:dyDescent="0.35">
      <c r="A4" s="19" t="s">
        <v>60</v>
      </c>
      <c r="B4" s="17" t="s">
        <v>35</v>
      </c>
      <c r="C4" s="17">
        <v>2.8000000000000001E-2</v>
      </c>
      <c r="D4" s="17" t="s">
        <v>75</v>
      </c>
      <c r="E4" s="17">
        <f>K1</f>
        <v>1800000</v>
      </c>
      <c r="F4" s="17" t="s">
        <v>30</v>
      </c>
      <c r="G4" s="18" t="s">
        <v>61</v>
      </c>
      <c r="H4" s="18">
        <f>C4*K1</f>
        <v>50400</v>
      </c>
      <c r="I4" s="18" t="s">
        <v>28</v>
      </c>
      <c r="J4" s="17"/>
      <c r="K4" s="17"/>
    </row>
    <row r="5" spans="1:11" ht="49.8" customHeight="1" x14ac:dyDescent="0.35">
      <c r="A5" s="19" t="s">
        <v>76</v>
      </c>
      <c r="B5" s="17" t="s">
        <v>46</v>
      </c>
      <c r="C5" s="17">
        <v>0.3</v>
      </c>
      <c r="D5" s="17" t="s">
        <v>56</v>
      </c>
      <c r="E5" s="17">
        <v>649796.04799999995</v>
      </c>
      <c r="F5" s="17" t="s">
        <v>30</v>
      </c>
      <c r="G5" s="18" t="s">
        <v>62</v>
      </c>
      <c r="H5" s="18">
        <f>(E5)*C5</f>
        <v>194938.81439999997</v>
      </c>
      <c r="I5" s="18" t="s">
        <v>28</v>
      </c>
      <c r="J5" s="17"/>
      <c r="K5" s="17"/>
    </row>
    <row r="6" spans="1:11" ht="40.049999999999997" customHeight="1" x14ac:dyDescent="0.35">
      <c r="A6" s="28" t="s">
        <v>32</v>
      </c>
      <c r="B6" s="17" t="s">
        <v>48</v>
      </c>
      <c r="C6" s="17">
        <v>3.0000000000000001E-3</v>
      </c>
      <c r="D6" s="17" t="s">
        <v>54</v>
      </c>
      <c r="E6" s="17">
        <f>E5</f>
        <v>649796.04799999995</v>
      </c>
      <c r="F6" s="17" t="s">
        <v>30</v>
      </c>
      <c r="G6" s="18" t="s">
        <v>63</v>
      </c>
      <c r="H6" s="18">
        <f>C6*E6</f>
        <v>1949.3881439999998</v>
      </c>
      <c r="I6" s="18" t="s">
        <v>28</v>
      </c>
      <c r="J6" s="17"/>
      <c r="K6" s="17"/>
    </row>
    <row r="7" spans="1:11" ht="40.049999999999997" customHeight="1" x14ac:dyDescent="0.35">
      <c r="A7" s="28"/>
      <c r="B7" s="17" t="s">
        <v>29</v>
      </c>
      <c r="C7" s="17">
        <v>1.0999999999999999E-2</v>
      </c>
      <c r="D7" s="17" t="s">
        <v>54</v>
      </c>
      <c r="E7" s="17">
        <f>E5</f>
        <v>649796.04799999995</v>
      </c>
      <c r="F7" s="17" t="s">
        <v>30</v>
      </c>
      <c r="G7" s="18" t="s">
        <v>64</v>
      </c>
      <c r="H7" s="18">
        <f t="shared" ref="H7:H8" si="0">C7*E7</f>
        <v>7147.756527999999</v>
      </c>
      <c r="I7" s="18" t="s">
        <v>28</v>
      </c>
      <c r="J7" s="17"/>
      <c r="K7" s="17"/>
    </row>
    <row r="8" spans="1:11" ht="40.049999999999997" customHeight="1" x14ac:dyDescent="0.35">
      <c r="A8" s="28"/>
      <c r="B8" s="17" t="s">
        <v>49</v>
      </c>
      <c r="C8" s="17">
        <v>3.0000000000000001E-3</v>
      </c>
      <c r="D8" s="17" t="s">
        <v>54</v>
      </c>
      <c r="E8" s="17">
        <f>E5</f>
        <v>649796.04799999995</v>
      </c>
      <c r="F8" s="17" t="s">
        <v>30</v>
      </c>
      <c r="G8" s="18" t="s">
        <v>65</v>
      </c>
      <c r="H8" s="18">
        <f t="shared" si="0"/>
        <v>1949.3881439999998</v>
      </c>
      <c r="I8" s="18" t="s">
        <v>28</v>
      </c>
      <c r="J8" s="17"/>
      <c r="K8" s="17"/>
    </row>
    <row r="9" spans="1:11" ht="51" customHeight="1" x14ac:dyDescent="0.35">
      <c r="A9" s="19" t="s">
        <v>77</v>
      </c>
      <c r="B9" s="17" t="s">
        <v>46</v>
      </c>
      <c r="C9" s="17">
        <v>0.6</v>
      </c>
      <c r="D9" s="17" t="s">
        <v>55</v>
      </c>
      <c r="E9" s="17">
        <v>206600.266</v>
      </c>
      <c r="F9" s="17" t="s">
        <v>30</v>
      </c>
      <c r="G9" s="18" t="s">
        <v>66</v>
      </c>
      <c r="H9" s="18">
        <f>(E9)*C9</f>
        <v>123960.1596</v>
      </c>
      <c r="I9" s="18" t="s">
        <v>28</v>
      </c>
      <c r="J9" s="17"/>
      <c r="K9" s="17"/>
    </row>
    <row r="10" spans="1:11" ht="40.049999999999997" customHeight="1" x14ac:dyDescent="0.35">
      <c r="A10" s="19" t="s">
        <v>31</v>
      </c>
      <c r="B10" s="17" t="s">
        <v>35</v>
      </c>
      <c r="C10" s="17">
        <v>0.3</v>
      </c>
      <c r="D10" s="17" t="s">
        <v>78</v>
      </c>
      <c r="E10" s="17">
        <v>427382.63099999999</v>
      </c>
      <c r="F10" s="17" t="s">
        <v>30</v>
      </c>
      <c r="G10" s="18" t="s">
        <v>67</v>
      </c>
      <c r="H10" s="18">
        <f>(K1-E10)*C10</f>
        <v>411785.2107</v>
      </c>
      <c r="I10" s="18" t="s">
        <v>28</v>
      </c>
      <c r="J10" s="17"/>
      <c r="K10" s="17"/>
    </row>
    <row r="11" spans="1:11" ht="40.049999999999997" customHeight="1" x14ac:dyDescent="0.35">
      <c r="A11" s="19" t="s">
        <v>68</v>
      </c>
      <c r="B11" s="17" t="s">
        <v>47</v>
      </c>
      <c r="C11" s="17">
        <v>1</v>
      </c>
      <c r="D11" s="17" t="s">
        <v>33</v>
      </c>
      <c r="E11" s="17">
        <v>558991.02399999998</v>
      </c>
      <c r="F11" s="17" t="s">
        <v>30</v>
      </c>
      <c r="G11" s="18" t="s">
        <v>69</v>
      </c>
      <c r="H11" s="18">
        <f>E11*C11</f>
        <v>558991.02399999998</v>
      </c>
      <c r="I11" s="18" t="s">
        <v>28</v>
      </c>
      <c r="J11" s="17"/>
      <c r="K11" s="17"/>
    </row>
    <row r="12" spans="1:11" ht="40.049999999999997" customHeight="1" x14ac:dyDescent="0.35">
      <c r="A12" s="19" t="s">
        <v>34</v>
      </c>
      <c r="B12" s="17" t="s">
        <v>35</v>
      </c>
      <c r="C12" s="17">
        <v>1.5</v>
      </c>
      <c r="D12" s="17" t="s">
        <v>78</v>
      </c>
      <c r="E12" s="17">
        <v>208044.77799999999</v>
      </c>
      <c r="F12" s="17" t="s">
        <v>30</v>
      </c>
      <c r="G12" s="18" t="s">
        <v>67</v>
      </c>
      <c r="H12" s="18">
        <f>(K1-E12)*C12</f>
        <v>2387932.8330000001</v>
      </c>
      <c r="I12" s="18" t="s">
        <v>28</v>
      </c>
      <c r="J12" s="17"/>
      <c r="K12" s="17"/>
    </row>
    <row r="13" spans="1:11" ht="40.049999999999997" customHeight="1" x14ac:dyDescent="0.35">
      <c r="A13" s="19" t="s">
        <v>70</v>
      </c>
      <c r="B13" s="17" t="s">
        <v>47</v>
      </c>
      <c r="C13" s="17">
        <v>4</v>
      </c>
      <c r="D13" s="17" t="s">
        <v>33</v>
      </c>
      <c r="E13" s="17">
        <v>1353879.371</v>
      </c>
      <c r="F13" s="17" t="s">
        <v>30</v>
      </c>
      <c r="G13" s="18" t="s">
        <v>69</v>
      </c>
      <c r="H13" s="18">
        <f>E13/C13</f>
        <v>338469.84275000001</v>
      </c>
      <c r="I13" s="18" t="s">
        <v>28</v>
      </c>
      <c r="J13" s="17"/>
      <c r="K13" s="17"/>
    </row>
    <row r="14" spans="1:11" ht="40.049999999999997" customHeight="1" x14ac:dyDescent="0.35">
      <c r="A14" s="28" t="s">
        <v>71</v>
      </c>
      <c r="B14" s="17" t="s">
        <v>35</v>
      </c>
      <c r="C14" s="17">
        <v>0.5</v>
      </c>
      <c r="D14" s="17" t="s">
        <v>78</v>
      </c>
      <c r="E14" s="17">
        <v>420937.25699999998</v>
      </c>
      <c r="F14" s="17" t="s">
        <v>30</v>
      </c>
      <c r="G14" s="18" t="s">
        <v>67</v>
      </c>
      <c r="H14" s="18">
        <f>(K1-E14)*C14</f>
        <v>689531.37150000001</v>
      </c>
      <c r="I14" s="18" t="s">
        <v>28</v>
      </c>
      <c r="J14" s="17"/>
      <c r="K14" s="17"/>
    </row>
    <row r="15" spans="1:11" ht="40.049999999999997" customHeight="1" x14ac:dyDescent="0.35">
      <c r="A15" s="28"/>
      <c r="B15" s="17" t="s">
        <v>29</v>
      </c>
      <c r="C15" s="17">
        <v>0.6</v>
      </c>
      <c r="D15" s="17" t="s">
        <v>78</v>
      </c>
      <c r="E15" s="17">
        <f>E14</f>
        <v>420937.25699999998</v>
      </c>
      <c r="F15" s="17" t="s">
        <v>30</v>
      </c>
      <c r="G15" s="18" t="s">
        <v>64</v>
      </c>
      <c r="H15" s="18">
        <f>(K1-E15)*C15</f>
        <v>827437.64579999994</v>
      </c>
      <c r="I15" s="18" t="s">
        <v>28</v>
      </c>
      <c r="J15" s="17"/>
      <c r="K15" s="17"/>
    </row>
    <row r="16" spans="1:11" ht="40.049999999999997" customHeight="1" x14ac:dyDescent="0.35">
      <c r="A16" s="19" t="s">
        <v>79</v>
      </c>
      <c r="B16" s="17" t="s">
        <v>50</v>
      </c>
      <c r="C16" s="17">
        <v>4</v>
      </c>
      <c r="D16" s="17" t="s">
        <v>80</v>
      </c>
      <c r="E16" s="17">
        <v>216425.334</v>
      </c>
      <c r="F16" s="17" t="s">
        <v>30</v>
      </c>
      <c r="G16" s="18" t="s">
        <v>81</v>
      </c>
      <c r="H16" s="18">
        <f>(K1-E16)*C16</f>
        <v>6334298.6639999999</v>
      </c>
      <c r="I16" s="18" t="s">
        <v>28</v>
      </c>
      <c r="J16" s="17"/>
      <c r="K16" s="17"/>
    </row>
    <row r="17" spans="1:11" ht="40.049999999999997" customHeight="1" x14ac:dyDescent="0.35">
      <c r="A17" s="28" t="s">
        <v>36</v>
      </c>
      <c r="B17" s="17" t="s">
        <v>37</v>
      </c>
      <c r="C17" s="17">
        <v>0.32</v>
      </c>
      <c r="D17" s="17" t="s">
        <v>38</v>
      </c>
      <c r="E17" s="17">
        <v>272115.84600000002</v>
      </c>
      <c r="F17" s="17" t="s">
        <v>30</v>
      </c>
      <c r="G17" s="18" t="s">
        <v>72</v>
      </c>
      <c r="H17" s="18">
        <f>E17*C17</f>
        <v>87077.070720000003</v>
      </c>
      <c r="I17" s="18" t="s">
        <v>28</v>
      </c>
      <c r="J17" s="17"/>
      <c r="K17" s="17"/>
    </row>
    <row r="18" spans="1:11" ht="40.049999999999997" customHeight="1" x14ac:dyDescent="0.35">
      <c r="A18" s="28"/>
      <c r="B18" s="17" t="s">
        <v>39</v>
      </c>
      <c r="C18" s="17">
        <v>0.08</v>
      </c>
      <c r="D18" s="17" t="s">
        <v>41</v>
      </c>
      <c r="E18" s="17">
        <f>E17</f>
        <v>272115.84600000002</v>
      </c>
      <c r="F18" s="17" t="s">
        <v>30</v>
      </c>
      <c r="G18" s="18" t="s">
        <v>73</v>
      </c>
      <c r="H18" s="18">
        <f>E18*C18</f>
        <v>21769.267680000001</v>
      </c>
      <c r="I18" s="18" t="s">
        <v>28</v>
      </c>
      <c r="J18" s="17"/>
      <c r="K18" s="17"/>
    </row>
    <row r="19" spans="1:11" ht="40.049999999999997" customHeight="1" x14ac:dyDescent="0.35">
      <c r="A19" s="28"/>
      <c r="B19" s="17" t="s">
        <v>40</v>
      </c>
      <c r="C19" s="17">
        <v>3</v>
      </c>
      <c r="D19" s="17" t="s">
        <v>42</v>
      </c>
      <c r="E19" s="17">
        <f>E17</f>
        <v>272115.84600000002</v>
      </c>
      <c r="F19" s="17" t="s">
        <v>30</v>
      </c>
      <c r="G19" s="18" t="s">
        <v>73</v>
      </c>
      <c r="H19" s="18">
        <f>E19*C19</f>
        <v>816347.53800000006</v>
      </c>
      <c r="I19" s="18" t="s">
        <v>28</v>
      </c>
      <c r="J19" s="17"/>
      <c r="K19" s="17"/>
    </row>
    <row r="20" spans="1:11" ht="40.049999999999997" customHeight="1" x14ac:dyDescent="0.35">
      <c r="A20" s="19" t="s">
        <v>43</v>
      </c>
      <c r="B20" s="17" t="s">
        <v>43</v>
      </c>
      <c r="C20" s="17">
        <v>4</v>
      </c>
      <c r="D20" s="17" t="s">
        <v>44</v>
      </c>
      <c r="E20" s="17">
        <v>187450</v>
      </c>
      <c r="F20" s="17" t="s">
        <v>30</v>
      </c>
      <c r="G20" s="18" t="s">
        <v>74</v>
      </c>
      <c r="H20" s="18">
        <f>E20*C20</f>
        <v>749800</v>
      </c>
      <c r="I20" s="18" t="s">
        <v>28</v>
      </c>
      <c r="J20" s="17"/>
      <c r="K20" s="17"/>
    </row>
  </sheetData>
  <mergeCells count="5">
    <mergeCell ref="D1:F1"/>
    <mergeCell ref="G1:I1"/>
    <mergeCell ref="A6:A8"/>
    <mergeCell ref="A14:A15"/>
    <mergeCell ref="A17:A19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C646-7E92-4019-AD2A-969B6FC7046A}">
  <dimension ref="A1:K20"/>
  <sheetViews>
    <sheetView zoomScale="55" zoomScaleNormal="55" workbookViewId="0">
      <pane ySplit="1" topLeftCell="A2" activePane="bottomLeft" state="frozen"/>
      <selection pane="bottomLeft" activeCell="G18" sqref="G18"/>
    </sheetView>
  </sheetViews>
  <sheetFormatPr defaultColWidth="15.796875" defaultRowHeight="40.049999999999997" customHeight="1" x14ac:dyDescent="0.35"/>
  <cols>
    <col min="1" max="1" width="41" style="12" customWidth="1"/>
    <col min="2" max="2" width="15.796875" style="10"/>
    <col min="3" max="3" width="19.6640625" style="10" customWidth="1"/>
    <col min="4" max="4" width="17.46484375" style="10" customWidth="1"/>
    <col min="5" max="5" width="15.796875" style="10"/>
    <col min="6" max="6" width="13.33203125" style="10" customWidth="1"/>
    <col min="7" max="7" width="17.19921875" style="10" customWidth="1"/>
    <col min="8" max="16384" width="15.796875" style="10"/>
  </cols>
  <sheetData>
    <row r="1" spans="1:11" ht="40.049999999999997" customHeight="1" x14ac:dyDescent="0.35">
      <c r="A1" s="13" t="s">
        <v>87</v>
      </c>
      <c r="B1" s="15" t="s">
        <v>52</v>
      </c>
      <c r="C1" s="15" t="s">
        <v>58</v>
      </c>
      <c r="D1" s="27" t="s">
        <v>82</v>
      </c>
      <c r="E1" s="27"/>
      <c r="F1" s="27"/>
      <c r="G1" s="27" t="s">
        <v>53</v>
      </c>
      <c r="H1" s="27"/>
      <c r="I1" s="27"/>
      <c r="J1" s="15" t="s">
        <v>54</v>
      </c>
      <c r="K1" s="15">
        <f>1000*1800</f>
        <v>1800000</v>
      </c>
    </row>
    <row r="2" spans="1:11" ht="40.049999999999997" customHeight="1" x14ac:dyDescent="0.35">
      <c r="A2" s="19" t="s">
        <v>91</v>
      </c>
      <c r="B2" s="17" t="s">
        <v>51</v>
      </c>
      <c r="C2" s="17">
        <v>410</v>
      </c>
      <c r="D2" s="17" t="s">
        <v>75</v>
      </c>
      <c r="E2" s="17">
        <f>K1</f>
        <v>1800000</v>
      </c>
      <c r="F2" s="17" t="s">
        <v>30</v>
      </c>
      <c r="G2" s="18" t="s">
        <v>59</v>
      </c>
      <c r="H2" s="18">
        <f>E2*C2</f>
        <v>738000000</v>
      </c>
      <c r="I2" s="18" t="s">
        <v>28</v>
      </c>
      <c r="J2" s="17"/>
      <c r="K2" s="17"/>
    </row>
    <row r="3" spans="1:11" ht="40.049999999999997" customHeight="1" x14ac:dyDescent="0.35">
      <c r="A3" s="19" t="s">
        <v>83</v>
      </c>
      <c r="B3" s="17" t="s">
        <v>51</v>
      </c>
      <c r="C3" s="17">
        <v>40</v>
      </c>
      <c r="D3" s="17" t="s">
        <v>57</v>
      </c>
      <c r="E3" s="17">
        <v>104030.539</v>
      </c>
      <c r="F3" s="17" t="s">
        <v>30</v>
      </c>
      <c r="G3" s="18" t="s">
        <v>59</v>
      </c>
      <c r="H3" s="18">
        <f>(E2-E3)*C3</f>
        <v>67838778.439999998</v>
      </c>
      <c r="I3" s="18" t="s">
        <v>28</v>
      </c>
      <c r="J3" s="17"/>
      <c r="K3" s="17"/>
    </row>
    <row r="4" spans="1:11" ht="40.049999999999997" customHeight="1" x14ac:dyDescent="0.35">
      <c r="A4" s="19" t="s">
        <v>60</v>
      </c>
      <c r="B4" s="17" t="s">
        <v>35</v>
      </c>
      <c r="C4" s="17">
        <v>2.8000000000000001E-2</v>
      </c>
      <c r="D4" s="17" t="s">
        <v>75</v>
      </c>
      <c r="E4" s="17">
        <f>K1</f>
        <v>1800000</v>
      </c>
      <c r="F4" s="17" t="s">
        <v>30</v>
      </c>
      <c r="G4" s="18" t="s">
        <v>61</v>
      </c>
      <c r="H4" s="18">
        <f>C4*K1</f>
        <v>50400</v>
      </c>
      <c r="I4" s="18" t="s">
        <v>28</v>
      </c>
      <c r="J4" s="17"/>
      <c r="K4" s="17"/>
    </row>
    <row r="5" spans="1:11" ht="49.8" customHeight="1" x14ac:dyDescent="0.35">
      <c r="A5" s="19" t="s">
        <v>76</v>
      </c>
      <c r="B5" s="17" t="s">
        <v>46</v>
      </c>
      <c r="C5" s="17">
        <v>0.3</v>
      </c>
      <c r="D5" s="17" t="s">
        <v>56</v>
      </c>
      <c r="E5" s="17">
        <v>616914.95400000003</v>
      </c>
      <c r="F5" s="17" t="s">
        <v>30</v>
      </c>
      <c r="G5" s="18" t="s">
        <v>62</v>
      </c>
      <c r="H5" s="18">
        <f>(E5)*C5</f>
        <v>185074.48620000001</v>
      </c>
      <c r="I5" s="18" t="s">
        <v>28</v>
      </c>
      <c r="J5" s="17"/>
      <c r="K5" s="17"/>
    </row>
    <row r="6" spans="1:11" ht="40.049999999999997" customHeight="1" x14ac:dyDescent="0.35">
      <c r="A6" s="28" t="s">
        <v>32</v>
      </c>
      <c r="B6" s="17" t="s">
        <v>48</v>
      </c>
      <c r="C6" s="17">
        <v>3.0000000000000001E-3</v>
      </c>
      <c r="D6" s="17" t="s">
        <v>54</v>
      </c>
      <c r="E6" s="17">
        <f>E5</f>
        <v>616914.95400000003</v>
      </c>
      <c r="F6" s="17" t="s">
        <v>30</v>
      </c>
      <c r="G6" s="18" t="s">
        <v>63</v>
      </c>
      <c r="H6" s="18">
        <f>C6*E6</f>
        <v>1850.744862</v>
      </c>
      <c r="I6" s="18" t="s">
        <v>28</v>
      </c>
      <c r="J6" s="17"/>
      <c r="K6" s="17"/>
    </row>
    <row r="7" spans="1:11" ht="40.049999999999997" customHeight="1" x14ac:dyDescent="0.35">
      <c r="A7" s="28"/>
      <c r="B7" s="17" t="s">
        <v>29</v>
      </c>
      <c r="C7" s="17">
        <v>1.0999999999999999E-2</v>
      </c>
      <c r="D7" s="17" t="s">
        <v>54</v>
      </c>
      <c r="E7" s="17">
        <f>E5</f>
        <v>616914.95400000003</v>
      </c>
      <c r="F7" s="17" t="s">
        <v>30</v>
      </c>
      <c r="G7" s="18" t="s">
        <v>64</v>
      </c>
      <c r="H7" s="18">
        <f t="shared" ref="H7:H8" si="0">C7*E7</f>
        <v>6786.0644940000002</v>
      </c>
      <c r="I7" s="18" t="s">
        <v>28</v>
      </c>
      <c r="J7" s="17"/>
      <c r="K7" s="17"/>
    </row>
    <row r="8" spans="1:11" ht="40.049999999999997" customHeight="1" x14ac:dyDescent="0.35">
      <c r="A8" s="28"/>
      <c r="B8" s="17" t="s">
        <v>49</v>
      </c>
      <c r="C8" s="17">
        <v>3.0000000000000001E-3</v>
      </c>
      <c r="D8" s="17" t="s">
        <v>54</v>
      </c>
      <c r="E8" s="17">
        <f>E5</f>
        <v>616914.95400000003</v>
      </c>
      <c r="F8" s="17" t="s">
        <v>30</v>
      </c>
      <c r="G8" s="18" t="s">
        <v>65</v>
      </c>
      <c r="H8" s="18">
        <f t="shared" si="0"/>
        <v>1850.744862</v>
      </c>
      <c r="I8" s="18" t="s">
        <v>28</v>
      </c>
      <c r="J8" s="17"/>
      <c r="K8" s="17"/>
    </row>
    <row r="9" spans="1:11" ht="51" customHeight="1" x14ac:dyDescent="0.35">
      <c r="A9" s="19" t="s">
        <v>77</v>
      </c>
      <c r="B9" s="17" t="s">
        <v>46</v>
      </c>
      <c r="C9" s="17">
        <v>0.6</v>
      </c>
      <c r="D9" s="17" t="s">
        <v>55</v>
      </c>
      <c r="E9" s="17">
        <v>210697.266</v>
      </c>
      <c r="F9" s="17" t="s">
        <v>30</v>
      </c>
      <c r="G9" s="18" t="s">
        <v>66</v>
      </c>
      <c r="H9" s="18">
        <f>(E9)*C9</f>
        <v>126418.3596</v>
      </c>
      <c r="I9" s="18" t="s">
        <v>28</v>
      </c>
      <c r="J9" s="17"/>
      <c r="K9" s="17"/>
    </row>
    <row r="10" spans="1:11" ht="40.049999999999997" customHeight="1" x14ac:dyDescent="0.35">
      <c r="A10" s="19" t="s">
        <v>31</v>
      </c>
      <c r="B10" s="17" t="s">
        <v>35</v>
      </c>
      <c r="C10" s="17">
        <v>0.3</v>
      </c>
      <c r="D10" s="17" t="s">
        <v>78</v>
      </c>
      <c r="E10" s="17">
        <v>394987.53</v>
      </c>
      <c r="F10" s="17" t="s">
        <v>30</v>
      </c>
      <c r="G10" s="18" t="s">
        <v>67</v>
      </c>
      <c r="H10" s="18">
        <f>(K1-E10)*C10</f>
        <v>421503.74099999998</v>
      </c>
      <c r="I10" s="18" t="s">
        <v>28</v>
      </c>
      <c r="J10" s="17"/>
      <c r="K10" s="17"/>
    </row>
    <row r="11" spans="1:11" ht="40.049999999999997" customHeight="1" x14ac:dyDescent="0.35">
      <c r="A11" s="19" t="s">
        <v>68</v>
      </c>
      <c r="B11" s="17" t="s">
        <v>47</v>
      </c>
      <c r="C11" s="17">
        <v>1</v>
      </c>
      <c r="D11" s="17" t="s">
        <v>33</v>
      </c>
      <c r="E11" s="17">
        <v>527386</v>
      </c>
      <c r="F11" s="17" t="s">
        <v>30</v>
      </c>
      <c r="G11" s="18" t="s">
        <v>69</v>
      </c>
      <c r="H11" s="18">
        <f>E11*C11</f>
        <v>527386</v>
      </c>
      <c r="I11" s="18" t="s">
        <v>28</v>
      </c>
      <c r="J11" s="17"/>
      <c r="K11" s="17"/>
    </row>
    <row r="12" spans="1:11" ht="40.049999999999997" customHeight="1" x14ac:dyDescent="0.35">
      <c r="A12" s="19" t="s">
        <v>34</v>
      </c>
      <c r="B12" s="17" t="s">
        <v>35</v>
      </c>
      <c r="C12" s="17">
        <v>1.5</v>
      </c>
      <c r="D12" s="17" t="s">
        <v>78</v>
      </c>
      <c r="E12" s="17">
        <v>181197</v>
      </c>
      <c r="F12" s="17" t="s">
        <v>30</v>
      </c>
      <c r="G12" s="18" t="s">
        <v>67</v>
      </c>
      <c r="H12" s="18">
        <f>(K1-E12)*C12</f>
        <v>2428204.5</v>
      </c>
      <c r="I12" s="18" t="s">
        <v>28</v>
      </c>
      <c r="J12" s="17"/>
      <c r="K12" s="17"/>
    </row>
    <row r="13" spans="1:11" ht="40.049999999999997" customHeight="1" x14ac:dyDescent="0.35">
      <c r="A13" s="19" t="s">
        <v>70</v>
      </c>
      <c r="B13" s="17" t="s">
        <v>47</v>
      </c>
      <c r="C13" s="17">
        <v>4</v>
      </c>
      <c r="D13" s="17" t="s">
        <v>33</v>
      </c>
      <c r="E13" s="17">
        <v>1361840</v>
      </c>
      <c r="F13" s="17" t="s">
        <v>30</v>
      </c>
      <c r="G13" s="18" t="s">
        <v>69</v>
      </c>
      <c r="H13" s="18">
        <f>E13/C13</f>
        <v>340460</v>
      </c>
      <c r="I13" s="18" t="s">
        <v>28</v>
      </c>
      <c r="J13" s="17"/>
      <c r="K13" s="17"/>
    </row>
    <row r="14" spans="1:11" ht="40.049999999999997" customHeight="1" x14ac:dyDescent="0.35">
      <c r="A14" s="28" t="s">
        <v>71</v>
      </c>
      <c r="B14" s="17" t="s">
        <v>35</v>
      </c>
      <c r="C14" s="17">
        <v>0.5</v>
      </c>
      <c r="D14" s="17" t="s">
        <v>78</v>
      </c>
      <c r="E14" s="17">
        <v>401280</v>
      </c>
      <c r="F14" s="17" t="s">
        <v>30</v>
      </c>
      <c r="G14" s="18" t="s">
        <v>67</v>
      </c>
      <c r="H14" s="18">
        <f>(K1-E14)*C14</f>
        <v>699360</v>
      </c>
      <c r="I14" s="18" t="s">
        <v>28</v>
      </c>
      <c r="J14" s="17"/>
      <c r="K14" s="17"/>
    </row>
    <row r="15" spans="1:11" ht="40.049999999999997" customHeight="1" x14ac:dyDescent="0.35">
      <c r="A15" s="28"/>
      <c r="B15" s="17" t="s">
        <v>29</v>
      </c>
      <c r="C15" s="17">
        <v>0.6</v>
      </c>
      <c r="D15" s="17" t="s">
        <v>78</v>
      </c>
      <c r="E15" s="17">
        <f>E14</f>
        <v>401280</v>
      </c>
      <c r="F15" s="17" t="s">
        <v>30</v>
      </c>
      <c r="G15" s="18" t="s">
        <v>64</v>
      </c>
      <c r="H15" s="18">
        <f>(K1-E15)*C15</f>
        <v>839232</v>
      </c>
      <c r="I15" s="18" t="s">
        <v>28</v>
      </c>
      <c r="J15" s="17"/>
      <c r="K15" s="17"/>
    </row>
    <row r="16" spans="1:11" ht="40.049999999999997" customHeight="1" x14ac:dyDescent="0.35">
      <c r="A16" s="19" t="s">
        <v>79</v>
      </c>
      <c r="B16" s="17" t="s">
        <v>50</v>
      </c>
      <c r="C16" s="17">
        <v>4</v>
      </c>
      <c r="D16" s="17" t="s">
        <v>80</v>
      </c>
      <c r="E16" s="17">
        <v>197418</v>
      </c>
      <c r="F16" s="17" t="s">
        <v>30</v>
      </c>
      <c r="G16" s="18" t="s">
        <v>81</v>
      </c>
      <c r="H16" s="18">
        <f>(K1-E16)*C16</f>
        <v>6410328</v>
      </c>
      <c r="I16" s="18" t="s">
        <v>28</v>
      </c>
      <c r="J16" s="17"/>
      <c r="K16" s="17"/>
    </row>
    <row r="17" spans="1:11" ht="40.049999999999997" customHeight="1" x14ac:dyDescent="0.35">
      <c r="A17" s="28" t="s">
        <v>36</v>
      </c>
      <c r="B17" s="17" t="s">
        <v>37</v>
      </c>
      <c r="C17" s="17">
        <v>0.32</v>
      </c>
      <c r="D17" s="17" t="s">
        <v>38</v>
      </c>
      <c r="E17" s="17">
        <v>254891</v>
      </c>
      <c r="F17" s="17" t="s">
        <v>30</v>
      </c>
      <c r="G17" s="18" t="s">
        <v>72</v>
      </c>
      <c r="H17" s="18">
        <f>E17*C17</f>
        <v>81565.119999999995</v>
      </c>
      <c r="I17" s="18" t="s">
        <v>28</v>
      </c>
      <c r="J17" s="17"/>
      <c r="K17" s="17"/>
    </row>
    <row r="18" spans="1:11" ht="40.049999999999997" customHeight="1" x14ac:dyDescent="0.35">
      <c r="A18" s="28"/>
      <c r="B18" s="17" t="s">
        <v>39</v>
      </c>
      <c r="C18" s="17">
        <v>0.08</v>
      </c>
      <c r="D18" s="17" t="s">
        <v>41</v>
      </c>
      <c r="E18" s="17">
        <f>E17</f>
        <v>254891</v>
      </c>
      <c r="F18" s="17" t="s">
        <v>30</v>
      </c>
      <c r="G18" s="18" t="s">
        <v>73</v>
      </c>
      <c r="H18" s="18">
        <f>E18*C18</f>
        <v>20391.28</v>
      </c>
      <c r="I18" s="18" t="s">
        <v>28</v>
      </c>
      <c r="J18" s="17"/>
      <c r="K18" s="17"/>
    </row>
    <row r="19" spans="1:11" ht="40.049999999999997" customHeight="1" x14ac:dyDescent="0.35">
      <c r="A19" s="28"/>
      <c r="B19" s="17" t="s">
        <v>40</v>
      </c>
      <c r="C19" s="17">
        <v>3</v>
      </c>
      <c r="D19" s="17" t="s">
        <v>42</v>
      </c>
      <c r="E19" s="17">
        <f>E17</f>
        <v>254891</v>
      </c>
      <c r="F19" s="17" t="s">
        <v>30</v>
      </c>
      <c r="G19" s="18" t="s">
        <v>73</v>
      </c>
      <c r="H19" s="18">
        <f>E19*C19</f>
        <v>764673</v>
      </c>
      <c r="I19" s="18" t="s">
        <v>28</v>
      </c>
      <c r="J19" s="17"/>
      <c r="K19" s="17"/>
    </row>
    <row r="20" spans="1:11" ht="40.049999999999997" customHeight="1" x14ac:dyDescent="0.35">
      <c r="A20" s="19" t="s">
        <v>43</v>
      </c>
      <c r="B20" s="17" t="s">
        <v>43</v>
      </c>
      <c r="C20" s="17">
        <v>4</v>
      </c>
      <c r="D20" s="17" t="s">
        <v>44</v>
      </c>
      <c r="E20" s="17">
        <v>187450</v>
      </c>
      <c r="F20" s="17" t="s">
        <v>30</v>
      </c>
      <c r="G20" s="18" t="s">
        <v>74</v>
      </c>
      <c r="H20" s="18">
        <f>E20*C20</f>
        <v>749800</v>
      </c>
      <c r="I20" s="18" t="s">
        <v>28</v>
      </c>
      <c r="J20" s="17"/>
      <c r="K20" s="17"/>
    </row>
  </sheetData>
  <mergeCells count="5">
    <mergeCell ref="D1:F1"/>
    <mergeCell ref="G1:I1"/>
    <mergeCell ref="A6:A8"/>
    <mergeCell ref="A14:A15"/>
    <mergeCell ref="A17:A19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6FE2-E24F-4AF2-AA32-B452C116FA78}">
  <dimension ref="A1:K20"/>
  <sheetViews>
    <sheetView zoomScale="85" zoomScaleNormal="85" workbookViewId="0">
      <pane ySplit="1" topLeftCell="A2" activePane="bottomLeft" state="frozen"/>
      <selection pane="bottomLeft" activeCell="B12" sqref="B12"/>
    </sheetView>
  </sheetViews>
  <sheetFormatPr defaultColWidth="15.796875" defaultRowHeight="40.049999999999997" customHeight="1" x14ac:dyDescent="0.35"/>
  <cols>
    <col min="1" max="1" width="41" style="12" customWidth="1"/>
    <col min="2" max="2" width="15.796875" style="10"/>
    <col min="3" max="3" width="19.6640625" style="10" customWidth="1"/>
    <col min="4" max="4" width="17.46484375" style="10" customWidth="1"/>
    <col min="5" max="5" width="15.796875" style="10"/>
    <col min="6" max="6" width="13.33203125" style="10" customWidth="1"/>
    <col min="7" max="7" width="17.19921875" style="10" customWidth="1"/>
    <col min="8" max="16384" width="15.796875" style="10"/>
  </cols>
  <sheetData>
    <row r="1" spans="1:11" ht="40.049999999999997" customHeight="1" x14ac:dyDescent="0.35">
      <c r="A1" s="13" t="s">
        <v>88</v>
      </c>
      <c r="B1" s="15" t="s">
        <v>52</v>
      </c>
      <c r="C1" s="15" t="s">
        <v>58</v>
      </c>
      <c r="D1" s="27" t="s">
        <v>82</v>
      </c>
      <c r="E1" s="27"/>
      <c r="F1" s="27"/>
      <c r="G1" s="27" t="s">
        <v>53</v>
      </c>
      <c r="H1" s="27"/>
      <c r="I1" s="27"/>
      <c r="J1" s="15" t="s">
        <v>54</v>
      </c>
      <c r="K1" s="15">
        <f>1000*2000</f>
        <v>2000000</v>
      </c>
    </row>
    <row r="2" spans="1:11" ht="40.049999999999997" customHeight="1" x14ac:dyDescent="0.35">
      <c r="A2" s="19" t="s">
        <v>91</v>
      </c>
      <c r="B2" s="17" t="s">
        <v>51</v>
      </c>
      <c r="C2" s="17">
        <v>410</v>
      </c>
      <c r="D2" s="17" t="s">
        <v>75</v>
      </c>
      <c r="E2" s="17">
        <f>K1</f>
        <v>2000000</v>
      </c>
      <c r="F2" s="17" t="s">
        <v>30</v>
      </c>
      <c r="G2" s="18" t="s">
        <v>59</v>
      </c>
      <c r="H2" s="18">
        <f>E2*C2</f>
        <v>820000000</v>
      </c>
      <c r="I2" s="18" t="s">
        <v>28</v>
      </c>
      <c r="J2" s="17"/>
      <c r="K2" s="17"/>
    </row>
    <row r="3" spans="1:11" ht="40.049999999999997" customHeight="1" x14ac:dyDescent="0.35">
      <c r="A3" s="19" t="s">
        <v>83</v>
      </c>
      <c r="B3" s="17" t="s">
        <v>51</v>
      </c>
      <c r="C3" s="17">
        <v>40</v>
      </c>
      <c r="D3" s="17" t="s">
        <v>57</v>
      </c>
      <c r="E3" s="17">
        <v>104030.539</v>
      </c>
      <c r="F3" s="17" t="s">
        <v>30</v>
      </c>
      <c r="G3" s="18" t="s">
        <v>59</v>
      </c>
      <c r="H3" s="18">
        <f>(E2-E3)*C3</f>
        <v>75838778.439999998</v>
      </c>
      <c r="I3" s="18" t="s">
        <v>28</v>
      </c>
      <c r="J3" s="17"/>
      <c r="K3" s="17"/>
    </row>
    <row r="4" spans="1:11" ht="40.049999999999997" customHeight="1" x14ac:dyDescent="0.35">
      <c r="A4" s="19" t="s">
        <v>60</v>
      </c>
      <c r="B4" s="17" t="s">
        <v>35</v>
      </c>
      <c r="C4" s="17">
        <v>2.8000000000000001E-2</v>
      </c>
      <c r="D4" s="17" t="s">
        <v>75</v>
      </c>
      <c r="E4" s="17">
        <f>K1</f>
        <v>2000000</v>
      </c>
      <c r="F4" s="17" t="s">
        <v>30</v>
      </c>
      <c r="G4" s="18" t="s">
        <v>61</v>
      </c>
      <c r="H4" s="18">
        <f>C4*K1</f>
        <v>56000</v>
      </c>
      <c r="I4" s="18" t="s">
        <v>28</v>
      </c>
      <c r="J4" s="17"/>
      <c r="K4" s="17"/>
    </row>
    <row r="5" spans="1:11" ht="49.8" customHeight="1" x14ac:dyDescent="0.35">
      <c r="A5" s="19" t="s">
        <v>76</v>
      </c>
      <c r="B5" s="17" t="s">
        <v>46</v>
      </c>
      <c r="C5" s="17">
        <v>0.3</v>
      </c>
      <c r="D5" s="17" t="s">
        <v>56</v>
      </c>
      <c r="E5" s="17">
        <v>649796.04799999995</v>
      </c>
      <c r="F5" s="17" t="s">
        <v>30</v>
      </c>
      <c r="G5" s="18" t="s">
        <v>62</v>
      </c>
      <c r="H5" s="18">
        <f>(E5)*C5</f>
        <v>194938.81439999997</v>
      </c>
      <c r="I5" s="18" t="s">
        <v>28</v>
      </c>
      <c r="J5" s="17"/>
      <c r="K5" s="17"/>
    </row>
    <row r="6" spans="1:11" ht="40.049999999999997" customHeight="1" x14ac:dyDescent="0.35">
      <c r="A6" s="28" t="s">
        <v>32</v>
      </c>
      <c r="B6" s="17" t="s">
        <v>48</v>
      </c>
      <c r="C6" s="17">
        <v>3.0000000000000001E-3</v>
      </c>
      <c r="D6" s="17" t="s">
        <v>54</v>
      </c>
      <c r="E6" s="17">
        <f>E5</f>
        <v>649796.04799999995</v>
      </c>
      <c r="F6" s="17" t="s">
        <v>30</v>
      </c>
      <c r="G6" s="18" t="s">
        <v>63</v>
      </c>
      <c r="H6" s="18">
        <f>C6*E6</f>
        <v>1949.3881439999998</v>
      </c>
      <c r="I6" s="18" t="s">
        <v>28</v>
      </c>
      <c r="J6" s="17"/>
      <c r="K6" s="17"/>
    </row>
    <row r="7" spans="1:11" ht="40.049999999999997" customHeight="1" x14ac:dyDescent="0.35">
      <c r="A7" s="28"/>
      <c r="B7" s="17" t="s">
        <v>29</v>
      </c>
      <c r="C7" s="17">
        <v>1.0999999999999999E-2</v>
      </c>
      <c r="D7" s="17" t="s">
        <v>54</v>
      </c>
      <c r="E7" s="17">
        <f>E5</f>
        <v>649796.04799999995</v>
      </c>
      <c r="F7" s="17" t="s">
        <v>30</v>
      </c>
      <c r="G7" s="18" t="s">
        <v>64</v>
      </c>
      <c r="H7" s="18">
        <f t="shared" ref="H7:H8" si="0">C7*E7</f>
        <v>7147.756527999999</v>
      </c>
      <c r="I7" s="18" t="s">
        <v>28</v>
      </c>
      <c r="J7" s="17"/>
      <c r="K7" s="17"/>
    </row>
    <row r="8" spans="1:11" ht="40.049999999999997" customHeight="1" x14ac:dyDescent="0.35">
      <c r="A8" s="28"/>
      <c r="B8" s="17" t="s">
        <v>49</v>
      </c>
      <c r="C8" s="17">
        <v>3.0000000000000001E-3</v>
      </c>
      <c r="D8" s="17" t="s">
        <v>54</v>
      </c>
      <c r="E8" s="17">
        <f>E5</f>
        <v>649796.04799999995</v>
      </c>
      <c r="F8" s="17" t="s">
        <v>30</v>
      </c>
      <c r="G8" s="18" t="s">
        <v>65</v>
      </c>
      <c r="H8" s="18">
        <f t="shared" si="0"/>
        <v>1949.3881439999998</v>
      </c>
      <c r="I8" s="18" t="s">
        <v>28</v>
      </c>
      <c r="J8" s="17"/>
      <c r="K8" s="17"/>
    </row>
    <row r="9" spans="1:11" ht="51" customHeight="1" x14ac:dyDescent="0.35">
      <c r="A9" s="19" t="s">
        <v>77</v>
      </c>
      <c r="B9" s="17" t="s">
        <v>46</v>
      </c>
      <c r="C9" s="17">
        <v>0.6</v>
      </c>
      <c r="D9" s="17" t="s">
        <v>55</v>
      </c>
      <c r="E9" s="17">
        <v>206600.266</v>
      </c>
      <c r="F9" s="17" t="s">
        <v>30</v>
      </c>
      <c r="G9" s="18" t="s">
        <v>66</v>
      </c>
      <c r="H9" s="18">
        <f>(E9)*C9</f>
        <v>123960.1596</v>
      </c>
      <c r="I9" s="18" t="s">
        <v>28</v>
      </c>
      <c r="J9" s="17"/>
      <c r="K9" s="17"/>
    </row>
    <row r="10" spans="1:11" ht="40.049999999999997" customHeight="1" x14ac:dyDescent="0.35">
      <c r="A10" s="19" t="s">
        <v>31</v>
      </c>
      <c r="B10" s="17" t="s">
        <v>35</v>
      </c>
      <c r="C10" s="17">
        <v>0.3</v>
      </c>
      <c r="D10" s="17" t="s">
        <v>78</v>
      </c>
      <c r="E10" s="17">
        <v>427382.63099999999</v>
      </c>
      <c r="F10" s="17" t="s">
        <v>30</v>
      </c>
      <c r="G10" s="18" t="s">
        <v>67</v>
      </c>
      <c r="H10" s="18">
        <f>(K1-E10)*C10</f>
        <v>471785.21069999994</v>
      </c>
      <c r="I10" s="18" t="s">
        <v>28</v>
      </c>
      <c r="J10" s="17"/>
      <c r="K10" s="17"/>
    </row>
    <row r="11" spans="1:11" ht="40.049999999999997" customHeight="1" x14ac:dyDescent="0.35">
      <c r="A11" s="19" t="s">
        <v>68</v>
      </c>
      <c r="B11" s="17" t="s">
        <v>47</v>
      </c>
      <c r="C11" s="17">
        <v>1</v>
      </c>
      <c r="D11" s="17" t="s">
        <v>33</v>
      </c>
      <c r="E11" s="17">
        <v>558991.02399999998</v>
      </c>
      <c r="F11" s="17" t="s">
        <v>30</v>
      </c>
      <c r="G11" s="18" t="s">
        <v>69</v>
      </c>
      <c r="H11" s="18">
        <f>E11*C11</f>
        <v>558991.02399999998</v>
      </c>
      <c r="I11" s="18" t="s">
        <v>28</v>
      </c>
      <c r="J11" s="17"/>
      <c r="K11" s="17"/>
    </row>
    <row r="12" spans="1:11" ht="40.049999999999997" customHeight="1" x14ac:dyDescent="0.35">
      <c r="A12" s="19" t="s">
        <v>34</v>
      </c>
      <c r="B12" s="17" t="s">
        <v>35</v>
      </c>
      <c r="C12" s="17">
        <v>1.5</v>
      </c>
      <c r="D12" s="17" t="s">
        <v>78</v>
      </c>
      <c r="E12" s="17">
        <v>208044.77799999999</v>
      </c>
      <c r="F12" s="17" t="s">
        <v>30</v>
      </c>
      <c r="G12" s="18" t="s">
        <v>67</v>
      </c>
      <c r="H12" s="18">
        <f>(K1-E12)*C12</f>
        <v>2687932.8330000001</v>
      </c>
      <c r="I12" s="18" t="s">
        <v>28</v>
      </c>
      <c r="J12" s="17"/>
      <c r="K12" s="17"/>
    </row>
    <row r="13" spans="1:11" ht="40.049999999999997" customHeight="1" x14ac:dyDescent="0.35">
      <c r="A13" s="19" t="s">
        <v>70</v>
      </c>
      <c r="B13" s="17" t="s">
        <v>47</v>
      </c>
      <c r="C13" s="17">
        <v>4</v>
      </c>
      <c r="D13" s="17" t="s">
        <v>33</v>
      </c>
      <c r="E13" s="17">
        <v>1353879.371</v>
      </c>
      <c r="F13" s="17" t="s">
        <v>30</v>
      </c>
      <c r="G13" s="18" t="s">
        <v>69</v>
      </c>
      <c r="H13" s="18">
        <f>E13/C13</f>
        <v>338469.84275000001</v>
      </c>
      <c r="I13" s="18" t="s">
        <v>28</v>
      </c>
      <c r="J13" s="17"/>
      <c r="K13" s="17"/>
    </row>
    <row r="14" spans="1:11" ht="40.049999999999997" customHeight="1" x14ac:dyDescent="0.35">
      <c r="A14" s="28" t="s">
        <v>71</v>
      </c>
      <c r="B14" s="17" t="s">
        <v>35</v>
      </c>
      <c r="C14" s="17">
        <v>0.5</v>
      </c>
      <c r="D14" s="17" t="s">
        <v>78</v>
      </c>
      <c r="E14" s="17">
        <v>420937.25699999998</v>
      </c>
      <c r="F14" s="17" t="s">
        <v>30</v>
      </c>
      <c r="G14" s="18" t="s">
        <v>67</v>
      </c>
      <c r="H14" s="18">
        <f>(K1-E14)*C14</f>
        <v>789531.37150000001</v>
      </c>
      <c r="I14" s="18" t="s">
        <v>28</v>
      </c>
      <c r="J14" s="17"/>
      <c r="K14" s="17"/>
    </row>
    <row r="15" spans="1:11" ht="40.049999999999997" customHeight="1" x14ac:dyDescent="0.35">
      <c r="A15" s="28"/>
      <c r="B15" s="17" t="s">
        <v>29</v>
      </c>
      <c r="C15" s="17">
        <v>0.6</v>
      </c>
      <c r="D15" s="17" t="s">
        <v>78</v>
      </c>
      <c r="E15" s="17">
        <f>E14</f>
        <v>420937.25699999998</v>
      </c>
      <c r="F15" s="17" t="s">
        <v>30</v>
      </c>
      <c r="G15" s="18" t="s">
        <v>64</v>
      </c>
      <c r="H15" s="18">
        <f>(K1-E15)*C15</f>
        <v>947437.64579999994</v>
      </c>
      <c r="I15" s="18" t="s">
        <v>28</v>
      </c>
      <c r="J15" s="17"/>
      <c r="K15" s="17"/>
    </row>
    <row r="16" spans="1:11" ht="40.049999999999997" customHeight="1" x14ac:dyDescent="0.35">
      <c r="A16" s="19" t="s">
        <v>79</v>
      </c>
      <c r="B16" s="17" t="s">
        <v>50</v>
      </c>
      <c r="C16" s="17">
        <v>4</v>
      </c>
      <c r="D16" s="17" t="s">
        <v>80</v>
      </c>
      <c r="E16" s="17">
        <v>216425.334</v>
      </c>
      <c r="F16" s="17" t="s">
        <v>30</v>
      </c>
      <c r="G16" s="18" t="s">
        <v>81</v>
      </c>
      <c r="H16" s="18">
        <f>(K1-E16)*C16</f>
        <v>7134298.6639999999</v>
      </c>
      <c r="I16" s="18" t="s">
        <v>28</v>
      </c>
      <c r="J16" s="17"/>
      <c r="K16" s="17"/>
    </row>
    <row r="17" spans="1:11" ht="40.049999999999997" customHeight="1" x14ac:dyDescent="0.35">
      <c r="A17" s="28" t="s">
        <v>36</v>
      </c>
      <c r="B17" s="17" t="s">
        <v>37</v>
      </c>
      <c r="C17" s="17">
        <v>0.32</v>
      </c>
      <c r="D17" s="17" t="s">
        <v>38</v>
      </c>
      <c r="E17" s="17">
        <v>272115.84600000002</v>
      </c>
      <c r="F17" s="17" t="s">
        <v>30</v>
      </c>
      <c r="G17" s="18" t="s">
        <v>72</v>
      </c>
      <c r="H17" s="18">
        <f>E17*C17</f>
        <v>87077.070720000003</v>
      </c>
      <c r="I17" s="18" t="s">
        <v>28</v>
      </c>
      <c r="J17" s="17"/>
      <c r="K17" s="17"/>
    </row>
    <row r="18" spans="1:11" ht="40.049999999999997" customHeight="1" x14ac:dyDescent="0.35">
      <c r="A18" s="28"/>
      <c r="B18" s="17" t="s">
        <v>39</v>
      </c>
      <c r="C18" s="17">
        <v>0.08</v>
      </c>
      <c r="D18" s="17" t="s">
        <v>41</v>
      </c>
      <c r="E18" s="17">
        <f>E17</f>
        <v>272115.84600000002</v>
      </c>
      <c r="F18" s="17" t="s">
        <v>30</v>
      </c>
      <c r="G18" s="18" t="s">
        <v>73</v>
      </c>
      <c r="H18" s="18">
        <f>E18*C18</f>
        <v>21769.267680000001</v>
      </c>
      <c r="I18" s="18" t="s">
        <v>28</v>
      </c>
      <c r="J18" s="17"/>
      <c r="K18" s="17"/>
    </row>
    <row r="19" spans="1:11" ht="40.049999999999997" customHeight="1" x14ac:dyDescent="0.35">
      <c r="A19" s="28"/>
      <c r="B19" s="17" t="s">
        <v>40</v>
      </c>
      <c r="C19" s="17">
        <v>3</v>
      </c>
      <c r="D19" s="17" t="s">
        <v>42</v>
      </c>
      <c r="E19" s="17">
        <f>E17</f>
        <v>272115.84600000002</v>
      </c>
      <c r="F19" s="17" t="s">
        <v>30</v>
      </c>
      <c r="G19" s="18" t="s">
        <v>73</v>
      </c>
      <c r="H19" s="18">
        <f>E19*C19</f>
        <v>816347.53800000006</v>
      </c>
      <c r="I19" s="18" t="s">
        <v>28</v>
      </c>
      <c r="J19" s="17"/>
      <c r="K19" s="17"/>
    </row>
    <row r="20" spans="1:11" ht="40.049999999999997" customHeight="1" x14ac:dyDescent="0.35">
      <c r="A20" s="19" t="s">
        <v>43</v>
      </c>
      <c r="B20" s="17" t="s">
        <v>43</v>
      </c>
      <c r="C20" s="17">
        <v>4</v>
      </c>
      <c r="D20" s="17" t="s">
        <v>44</v>
      </c>
      <c r="E20" s="17">
        <v>187450</v>
      </c>
      <c r="F20" s="17" t="s">
        <v>30</v>
      </c>
      <c r="G20" s="18" t="s">
        <v>74</v>
      </c>
      <c r="H20" s="18">
        <f>E20*C20</f>
        <v>749800</v>
      </c>
      <c r="I20" s="18" t="s">
        <v>28</v>
      </c>
      <c r="J20" s="17"/>
      <c r="K20" s="17"/>
    </row>
  </sheetData>
  <mergeCells count="5">
    <mergeCell ref="D1:F1"/>
    <mergeCell ref="G1:I1"/>
    <mergeCell ref="A6:A8"/>
    <mergeCell ref="A14:A15"/>
    <mergeCell ref="A17:A19"/>
  </mergeCells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7A69-CB05-4063-8AE9-D68C0F04EB95}">
  <dimension ref="A1:K20"/>
  <sheetViews>
    <sheetView zoomScale="85" zoomScaleNormal="85" workbookViewId="0">
      <pane ySplit="1" topLeftCell="A2" activePane="bottomLeft" state="frozen"/>
      <selection pane="bottomLeft" activeCell="D9" sqref="D9"/>
    </sheetView>
  </sheetViews>
  <sheetFormatPr defaultColWidth="15.796875" defaultRowHeight="40.049999999999997" customHeight="1" x14ac:dyDescent="0.35"/>
  <cols>
    <col min="1" max="1" width="41" style="12" customWidth="1"/>
    <col min="2" max="2" width="15.796875" style="10"/>
    <col min="3" max="3" width="19.6640625" style="10" customWidth="1"/>
    <col min="4" max="4" width="17.46484375" style="10" customWidth="1"/>
    <col min="5" max="5" width="15.796875" style="10"/>
    <col min="6" max="6" width="13.33203125" style="10" customWidth="1"/>
    <col min="7" max="7" width="17.19921875" style="10" customWidth="1"/>
    <col min="8" max="16384" width="15.796875" style="10"/>
  </cols>
  <sheetData>
    <row r="1" spans="1:11" ht="40.049999999999997" customHeight="1" x14ac:dyDescent="0.35">
      <c r="A1" s="13" t="s">
        <v>89</v>
      </c>
      <c r="B1" s="20" t="s">
        <v>52</v>
      </c>
      <c r="C1" s="20" t="s">
        <v>58</v>
      </c>
      <c r="D1" s="27" t="s">
        <v>82</v>
      </c>
      <c r="E1" s="27"/>
      <c r="F1" s="27"/>
      <c r="G1" s="27" t="s">
        <v>53</v>
      </c>
      <c r="H1" s="27"/>
      <c r="I1" s="27"/>
      <c r="J1" s="20" t="s">
        <v>54</v>
      </c>
      <c r="K1" s="20">
        <f>1200*1300</f>
        <v>1560000</v>
      </c>
    </row>
    <row r="2" spans="1:11" ht="40.049999999999997" customHeight="1" x14ac:dyDescent="0.35">
      <c r="A2" s="21" t="s">
        <v>91</v>
      </c>
      <c r="B2" s="17" t="s">
        <v>51</v>
      </c>
      <c r="C2" s="17">
        <v>410</v>
      </c>
      <c r="D2" s="17" t="s">
        <v>75</v>
      </c>
      <c r="E2" s="17">
        <f>K1</f>
        <v>1560000</v>
      </c>
      <c r="F2" s="17" t="s">
        <v>30</v>
      </c>
      <c r="G2" s="18" t="s">
        <v>59</v>
      </c>
      <c r="H2" s="18">
        <f>E2*C2</f>
        <v>639600000</v>
      </c>
      <c r="I2" s="18" t="s">
        <v>28</v>
      </c>
      <c r="J2" s="17"/>
      <c r="K2" s="17"/>
    </row>
    <row r="3" spans="1:11" ht="40.049999999999997" customHeight="1" x14ac:dyDescent="0.35">
      <c r="A3" s="21" t="s">
        <v>83</v>
      </c>
      <c r="B3" s="17" t="s">
        <v>51</v>
      </c>
      <c r="C3" s="17">
        <v>40</v>
      </c>
      <c r="D3" s="17" t="s">
        <v>57</v>
      </c>
      <c r="E3" s="17">
        <v>112323</v>
      </c>
      <c r="F3" s="17" t="s">
        <v>30</v>
      </c>
      <c r="G3" s="18" t="s">
        <v>59</v>
      </c>
      <c r="H3" s="18">
        <f>(E2-E3)*C3</f>
        <v>57907080</v>
      </c>
      <c r="I3" s="18" t="s">
        <v>28</v>
      </c>
      <c r="J3" s="17"/>
      <c r="K3" s="17"/>
    </row>
    <row r="4" spans="1:11" ht="40.049999999999997" customHeight="1" x14ac:dyDescent="0.35">
      <c r="A4" s="21" t="s">
        <v>60</v>
      </c>
      <c r="B4" s="17" t="s">
        <v>35</v>
      </c>
      <c r="C4" s="17">
        <v>2.8000000000000001E-2</v>
      </c>
      <c r="D4" s="17" t="s">
        <v>75</v>
      </c>
      <c r="E4" s="17">
        <f>K1</f>
        <v>1560000</v>
      </c>
      <c r="F4" s="17" t="s">
        <v>30</v>
      </c>
      <c r="G4" s="18" t="s">
        <v>61</v>
      </c>
      <c r="H4" s="18">
        <f>C4*K1</f>
        <v>43680</v>
      </c>
      <c r="I4" s="18" t="s">
        <v>28</v>
      </c>
      <c r="J4" s="17"/>
      <c r="K4" s="17"/>
    </row>
    <row r="5" spans="1:11" ht="49.8" customHeight="1" x14ac:dyDescent="0.35">
      <c r="A5" s="21" t="s">
        <v>76</v>
      </c>
      <c r="B5" s="17" t="s">
        <v>46</v>
      </c>
      <c r="C5" s="17">
        <v>0.3</v>
      </c>
      <c r="D5" s="17" t="s">
        <v>56</v>
      </c>
      <c r="E5" s="17">
        <v>616622</v>
      </c>
      <c r="F5" s="17" t="s">
        <v>30</v>
      </c>
      <c r="G5" s="18" t="s">
        <v>62</v>
      </c>
      <c r="H5" s="18">
        <f>(E5)*C5</f>
        <v>184986.6</v>
      </c>
      <c r="I5" s="18" t="s">
        <v>28</v>
      </c>
      <c r="J5" s="17"/>
      <c r="K5" s="17"/>
    </row>
    <row r="6" spans="1:11" ht="40.049999999999997" customHeight="1" x14ac:dyDescent="0.35">
      <c r="A6" s="28" t="s">
        <v>32</v>
      </c>
      <c r="B6" s="17" t="s">
        <v>48</v>
      </c>
      <c r="C6" s="17">
        <v>3.0000000000000001E-3</v>
      </c>
      <c r="D6" s="17" t="s">
        <v>54</v>
      </c>
      <c r="E6" s="17">
        <f>E5</f>
        <v>616622</v>
      </c>
      <c r="F6" s="17" t="s">
        <v>30</v>
      </c>
      <c r="G6" s="18" t="s">
        <v>63</v>
      </c>
      <c r="H6" s="18">
        <f>C6*E6</f>
        <v>1849.866</v>
      </c>
      <c r="I6" s="18" t="s">
        <v>28</v>
      </c>
      <c r="J6" s="17"/>
      <c r="K6" s="17"/>
    </row>
    <row r="7" spans="1:11" ht="40.049999999999997" customHeight="1" x14ac:dyDescent="0.35">
      <c r="A7" s="28"/>
      <c r="B7" s="17" t="s">
        <v>29</v>
      </c>
      <c r="C7" s="17">
        <v>1.0999999999999999E-2</v>
      </c>
      <c r="D7" s="17" t="s">
        <v>54</v>
      </c>
      <c r="E7" s="17">
        <f>E5</f>
        <v>616622</v>
      </c>
      <c r="F7" s="17" t="s">
        <v>30</v>
      </c>
      <c r="G7" s="18" t="s">
        <v>64</v>
      </c>
      <c r="H7" s="18">
        <f t="shared" ref="H7:H8" si="0">C7*E7</f>
        <v>6782.8419999999996</v>
      </c>
      <c r="I7" s="18" t="s">
        <v>28</v>
      </c>
      <c r="J7" s="17"/>
      <c r="K7" s="17"/>
    </row>
    <row r="8" spans="1:11" ht="40.049999999999997" customHeight="1" x14ac:dyDescent="0.35">
      <c r="A8" s="28"/>
      <c r="B8" s="17" t="s">
        <v>49</v>
      </c>
      <c r="C8" s="17">
        <v>3.0000000000000001E-3</v>
      </c>
      <c r="D8" s="17" t="s">
        <v>54</v>
      </c>
      <c r="E8" s="17">
        <f>E5</f>
        <v>616622</v>
      </c>
      <c r="F8" s="17" t="s">
        <v>30</v>
      </c>
      <c r="G8" s="18" t="s">
        <v>65</v>
      </c>
      <c r="H8" s="18">
        <f t="shared" si="0"/>
        <v>1849.866</v>
      </c>
      <c r="I8" s="18" t="s">
        <v>28</v>
      </c>
      <c r="J8" s="17"/>
      <c r="K8" s="17"/>
    </row>
    <row r="9" spans="1:11" ht="51" customHeight="1" x14ac:dyDescent="0.35">
      <c r="A9" s="21" t="s">
        <v>77</v>
      </c>
      <c r="B9" s="17" t="s">
        <v>46</v>
      </c>
      <c r="C9" s="17">
        <v>0.6</v>
      </c>
      <c r="D9" s="17" t="s">
        <v>55</v>
      </c>
      <c r="E9" s="17">
        <v>211709</v>
      </c>
      <c r="F9" s="17" t="s">
        <v>30</v>
      </c>
      <c r="G9" s="18" t="s">
        <v>66</v>
      </c>
      <c r="H9" s="18">
        <f>(E9)*C9</f>
        <v>127025.4</v>
      </c>
      <c r="I9" s="18" t="s">
        <v>28</v>
      </c>
      <c r="J9" s="17"/>
      <c r="K9" s="17"/>
    </row>
    <row r="10" spans="1:11" ht="40.049999999999997" customHeight="1" x14ac:dyDescent="0.35">
      <c r="A10" s="21" t="s">
        <v>31</v>
      </c>
      <c r="B10" s="17" t="s">
        <v>35</v>
      </c>
      <c r="C10" s="17">
        <v>0.3</v>
      </c>
      <c r="D10" s="17" t="s">
        <v>78</v>
      </c>
      <c r="E10" s="17">
        <v>384232</v>
      </c>
      <c r="F10" s="17" t="s">
        <v>30</v>
      </c>
      <c r="G10" s="18" t="s">
        <v>67</v>
      </c>
      <c r="H10" s="18">
        <f>(K1-E10)*C10</f>
        <v>352730.39999999997</v>
      </c>
      <c r="I10" s="18" t="s">
        <v>28</v>
      </c>
      <c r="J10" s="17"/>
      <c r="K10" s="17"/>
    </row>
    <row r="11" spans="1:11" ht="40.049999999999997" customHeight="1" x14ac:dyDescent="0.35">
      <c r="A11" s="21" t="s">
        <v>68</v>
      </c>
      <c r="B11" s="17" t="s">
        <v>47</v>
      </c>
      <c r="C11" s="17">
        <v>1</v>
      </c>
      <c r="D11" s="17" t="s">
        <v>33</v>
      </c>
      <c r="E11" s="17">
        <v>482536</v>
      </c>
      <c r="F11" s="17" t="s">
        <v>30</v>
      </c>
      <c r="G11" s="18" t="s">
        <v>69</v>
      </c>
      <c r="H11" s="18">
        <f>E11*C11</f>
        <v>482536</v>
      </c>
      <c r="I11" s="18" t="s">
        <v>28</v>
      </c>
      <c r="J11" s="17"/>
      <c r="K11" s="17"/>
    </row>
    <row r="12" spans="1:11" ht="40.049999999999997" customHeight="1" x14ac:dyDescent="0.35">
      <c r="A12" s="21" t="s">
        <v>34</v>
      </c>
      <c r="B12" s="17" t="s">
        <v>35</v>
      </c>
      <c r="C12" s="17">
        <v>1.5</v>
      </c>
      <c r="D12" s="17" t="s">
        <v>78</v>
      </c>
      <c r="E12" s="17">
        <v>166300</v>
      </c>
      <c r="F12" s="17" t="s">
        <v>30</v>
      </c>
      <c r="G12" s="18" t="s">
        <v>67</v>
      </c>
      <c r="H12" s="18">
        <f>(K1-E12)*C12</f>
        <v>2090550</v>
      </c>
      <c r="I12" s="18" t="s">
        <v>28</v>
      </c>
      <c r="J12" s="17"/>
      <c r="K12" s="17"/>
    </row>
    <row r="13" spans="1:11" ht="40.049999999999997" customHeight="1" x14ac:dyDescent="0.35">
      <c r="A13" s="21" t="s">
        <v>70</v>
      </c>
      <c r="B13" s="17" t="s">
        <v>47</v>
      </c>
      <c r="C13" s="17">
        <v>4</v>
      </c>
      <c r="D13" s="17" t="s">
        <v>33</v>
      </c>
      <c r="E13" s="17">
        <v>1164750</v>
      </c>
      <c r="F13" s="17" t="s">
        <v>30</v>
      </c>
      <c r="G13" s="18" t="s">
        <v>69</v>
      </c>
      <c r="H13" s="18">
        <f>E13/C13</f>
        <v>291187.5</v>
      </c>
      <c r="I13" s="18" t="s">
        <v>28</v>
      </c>
      <c r="J13" s="17"/>
      <c r="K13" s="17"/>
    </row>
    <row r="14" spans="1:11" ht="40.049999999999997" customHeight="1" x14ac:dyDescent="0.35">
      <c r="A14" s="28" t="s">
        <v>71</v>
      </c>
      <c r="B14" s="17" t="s">
        <v>35</v>
      </c>
      <c r="C14" s="17">
        <v>0.5</v>
      </c>
      <c r="D14" s="17" t="s">
        <v>78</v>
      </c>
      <c r="E14" s="17">
        <v>330408</v>
      </c>
      <c r="F14" s="17" t="s">
        <v>30</v>
      </c>
      <c r="G14" s="18" t="s">
        <v>67</v>
      </c>
      <c r="H14" s="18">
        <f>(K1-E14)*C14</f>
        <v>614796</v>
      </c>
      <c r="I14" s="18" t="s">
        <v>28</v>
      </c>
      <c r="J14" s="17"/>
      <c r="K14" s="17"/>
    </row>
    <row r="15" spans="1:11" ht="40.049999999999997" customHeight="1" x14ac:dyDescent="0.35">
      <c r="A15" s="28"/>
      <c r="B15" s="17" t="s">
        <v>29</v>
      </c>
      <c r="C15" s="17">
        <v>0.6</v>
      </c>
      <c r="D15" s="17" t="s">
        <v>78</v>
      </c>
      <c r="E15" s="17">
        <f>E14</f>
        <v>330408</v>
      </c>
      <c r="F15" s="17" t="s">
        <v>30</v>
      </c>
      <c r="G15" s="18" t="s">
        <v>64</v>
      </c>
      <c r="H15" s="18">
        <f>(K1-E15)*C15</f>
        <v>737755.2</v>
      </c>
      <c r="I15" s="18" t="s">
        <v>28</v>
      </c>
      <c r="J15" s="17"/>
      <c r="K15" s="17"/>
    </row>
    <row r="16" spans="1:11" ht="40.049999999999997" customHeight="1" x14ac:dyDescent="0.35">
      <c r="A16" s="21" t="s">
        <v>79</v>
      </c>
      <c r="B16" s="17" t="s">
        <v>50</v>
      </c>
      <c r="C16" s="17">
        <v>4</v>
      </c>
      <c r="D16" s="17" t="s">
        <v>80</v>
      </c>
      <c r="E16" s="17">
        <v>166875</v>
      </c>
      <c r="F16" s="17" t="s">
        <v>30</v>
      </c>
      <c r="G16" s="18" t="s">
        <v>81</v>
      </c>
      <c r="H16" s="18">
        <f>(K1-E16)*C16</f>
        <v>5572500</v>
      </c>
      <c r="I16" s="18" t="s">
        <v>28</v>
      </c>
      <c r="J16" s="17"/>
      <c r="K16" s="17"/>
    </row>
    <row r="17" spans="1:11" ht="40.049999999999997" customHeight="1" x14ac:dyDescent="0.35">
      <c r="A17" s="28" t="s">
        <v>36</v>
      </c>
      <c r="B17" s="17" t="s">
        <v>37</v>
      </c>
      <c r="C17" s="17">
        <v>0.32</v>
      </c>
      <c r="D17" s="17" t="s">
        <v>38</v>
      </c>
      <c r="E17" s="17">
        <v>217398</v>
      </c>
      <c r="F17" s="17" t="s">
        <v>30</v>
      </c>
      <c r="G17" s="18" t="s">
        <v>72</v>
      </c>
      <c r="H17" s="18">
        <f>E17*C17</f>
        <v>69567.360000000001</v>
      </c>
      <c r="I17" s="18" t="s">
        <v>28</v>
      </c>
      <c r="J17" s="17"/>
      <c r="K17" s="17"/>
    </row>
    <row r="18" spans="1:11" ht="40.049999999999997" customHeight="1" x14ac:dyDescent="0.35">
      <c r="A18" s="28"/>
      <c r="B18" s="17" t="s">
        <v>39</v>
      </c>
      <c r="C18" s="17">
        <v>0.08</v>
      </c>
      <c r="D18" s="17" t="s">
        <v>41</v>
      </c>
      <c r="E18" s="17">
        <f>E17</f>
        <v>217398</v>
      </c>
      <c r="F18" s="17" t="s">
        <v>30</v>
      </c>
      <c r="G18" s="18" t="s">
        <v>73</v>
      </c>
      <c r="H18" s="18">
        <f>E18*C18</f>
        <v>17391.84</v>
      </c>
      <c r="I18" s="18" t="s">
        <v>28</v>
      </c>
      <c r="J18" s="17"/>
      <c r="K18" s="17"/>
    </row>
    <row r="19" spans="1:11" ht="40.049999999999997" customHeight="1" x14ac:dyDescent="0.35">
      <c r="A19" s="28"/>
      <c r="B19" s="17" t="s">
        <v>40</v>
      </c>
      <c r="C19" s="17">
        <v>3</v>
      </c>
      <c r="D19" s="17" t="s">
        <v>42</v>
      </c>
      <c r="E19" s="17">
        <f>E17</f>
        <v>217398</v>
      </c>
      <c r="F19" s="17" t="s">
        <v>30</v>
      </c>
      <c r="G19" s="18" t="s">
        <v>73</v>
      </c>
      <c r="H19" s="18">
        <f>E19*C19</f>
        <v>652194</v>
      </c>
      <c r="I19" s="18" t="s">
        <v>28</v>
      </c>
      <c r="J19" s="17"/>
      <c r="K19" s="17"/>
    </row>
    <row r="20" spans="1:11" ht="40.049999999999997" customHeight="1" x14ac:dyDescent="0.35">
      <c r="A20" s="21" t="s">
        <v>43</v>
      </c>
      <c r="B20" s="17" t="s">
        <v>43</v>
      </c>
      <c r="C20" s="17">
        <v>4</v>
      </c>
      <c r="D20" s="17" t="s">
        <v>44</v>
      </c>
      <c r="E20" s="17">
        <v>149950</v>
      </c>
      <c r="F20" s="17" t="s">
        <v>30</v>
      </c>
      <c r="G20" s="18" t="s">
        <v>74</v>
      </c>
      <c r="H20" s="18">
        <f>E20*C20</f>
        <v>599800</v>
      </c>
      <c r="I20" s="18" t="s">
        <v>28</v>
      </c>
      <c r="J20" s="17"/>
      <c r="K20" s="17"/>
    </row>
  </sheetData>
  <mergeCells count="5">
    <mergeCell ref="D1:F1"/>
    <mergeCell ref="G1:I1"/>
    <mergeCell ref="A6:A8"/>
    <mergeCell ref="A14:A15"/>
    <mergeCell ref="A17:A19"/>
  </mergeCells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6945-235F-41A9-BA00-6361917F12BA}">
  <dimension ref="A1:K20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ColWidth="15.796875" defaultRowHeight="40.049999999999997" customHeight="1" x14ac:dyDescent="0.35"/>
  <cols>
    <col min="1" max="1" width="41" style="12" customWidth="1"/>
    <col min="2" max="2" width="15.796875" style="10"/>
    <col min="3" max="3" width="19.6640625" style="10" customWidth="1"/>
    <col min="4" max="4" width="17.46484375" style="10" customWidth="1"/>
    <col min="5" max="5" width="15.796875" style="10"/>
    <col min="6" max="6" width="13.33203125" style="10" customWidth="1"/>
    <col min="7" max="7" width="17.19921875" style="10" customWidth="1"/>
    <col min="8" max="16384" width="15.796875" style="10"/>
  </cols>
  <sheetData>
    <row r="1" spans="1:11" ht="40.049999999999997" customHeight="1" x14ac:dyDescent="0.35">
      <c r="A1" s="13" t="s">
        <v>90</v>
      </c>
      <c r="B1" s="20" t="s">
        <v>52</v>
      </c>
      <c r="C1" s="20" t="s">
        <v>58</v>
      </c>
      <c r="D1" s="27" t="s">
        <v>82</v>
      </c>
      <c r="E1" s="27"/>
      <c r="F1" s="27"/>
      <c r="G1" s="27" t="s">
        <v>53</v>
      </c>
      <c r="H1" s="27"/>
      <c r="I1" s="27"/>
      <c r="J1" s="20" t="s">
        <v>54</v>
      </c>
      <c r="K1" s="20">
        <f>1500*1400</f>
        <v>2100000</v>
      </c>
    </row>
    <row r="2" spans="1:11" ht="40.049999999999997" customHeight="1" x14ac:dyDescent="0.35">
      <c r="A2" s="21" t="s">
        <v>91</v>
      </c>
      <c r="B2" s="17" t="s">
        <v>51</v>
      </c>
      <c r="C2" s="17">
        <v>410</v>
      </c>
      <c r="D2" s="17" t="s">
        <v>75</v>
      </c>
      <c r="E2" s="17">
        <f>K1</f>
        <v>2100000</v>
      </c>
      <c r="F2" s="17" t="s">
        <v>30</v>
      </c>
      <c r="G2" s="18" t="s">
        <v>59</v>
      </c>
      <c r="H2" s="18">
        <f>E2*C2</f>
        <v>861000000</v>
      </c>
      <c r="I2" s="18" t="s">
        <v>28</v>
      </c>
      <c r="J2" s="17"/>
      <c r="K2" s="17"/>
    </row>
    <row r="3" spans="1:11" ht="40.049999999999997" customHeight="1" x14ac:dyDescent="0.35">
      <c r="A3" s="21" t="s">
        <v>83</v>
      </c>
      <c r="B3" s="17" t="s">
        <v>51</v>
      </c>
      <c r="C3" s="17">
        <v>40</v>
      </c>
      <c r="D3" s="17" t="s">
        <v>57</v>
      </c>
      <c r="E3" s="17">
        <v>110469</v>
      </c>
      <c r="F3" s="17" t="s">
        <v>30</v>
      </c>
      <c r="G3" s="18" t="s">
        <v>59</v>
      </c>
      <c r="H3" s="18">
        <f>(E2-E3)*C3</f>
        <v>79581240</v>
      </c>
      <c r="I3" s="18" t="s">
        <v>28</v>
      </c>
      <c r="J3" s="17"/>
      <c r="K3" s="17"/>
    </row>
    <row r="4" spans="1:11" ht="40.049999999999997" customHeight="1" x14ac:dyDescent="0.35">
      <c r="A4" s="21" t="s">
        <v>60</v>
      </c>
      <c r="B4" s="17" t="s">
        <v>35</v>
      </c>
      <c r="C4" s="17">
        <v>2.8000000000000001E-2</v>
      </c>
      <c r="D4" s="17" t="s">
        <v>75</v>
      </c>
      <c r="E4" s="17">
        <f>K1</f>
        <v>2100000</v>
      </c>
      <c r="F4" s="17" t="s">
        <v>30</v>
      </c>
      <c r="G4" s="18" t="s">
        <v>61</v>
      </c>
      <c r="H4" s="18">
        <f>C4*K1</f>
        <v>58800</v>
      </c>
      <c r="I4" s="18" t="s">
        <v>28</v>
      </c>
      <c r="J4" s="17"/>
      <c r="K4" s="17"/>
    </row>
    <row r="5" spans="1:11" ht="49.8" customHeight="1" x14ac:dyDescent="0.35">
      <c r="A5" s="21" t="s">
        <v>76</v>
      </c>
      <c r="B5" s="17" t="s">
        <v>46</v>
      </c>
      <c r="C5" s="17">
        <v>0.3</v>
      </c>
      <c r="D5" s="17" t="s">
        <v>56</v>
      </c>
      <c r="E5" s="17">
        <v>718061</v>
      </c>
      <c r="F5" s="17" t="s">
        <v>30</v>
      </c>
      <c r="G5" s="18" t="s">
        <v>62</v>
      </c>
      <c r="H5" s="18">
        <f>(E5)*C5</f>
        <v>215418.3</v>
      </c>
      <c r="I5" s="18" t="s">
        <v>28</v>
      </c>
      <c r="J5" s="17"/>
      <c r="K5" s="17"/>
    </row>
    <row r="6" spans="1:11" ht="40.049999999999997" customHeight="1" x14ac:dyDescent="0.35">
      <c r="A6" s="28" t="s">
        <v>32</v>
      </c>
      <c r="B6" s="17" t="s">
        <v>48</v>
      </c>
      <c r="C6" s="17">
        <v>3.0000000000000001E-3</v>
      </c>
      <c r="D6" s="17" t="s">
        <v>54</v>
      </c>
      <c r="E6" s="17">
        <f>E5</f>
        <v>718061</v>
      </c>
      <c r="F6" s="17" t="s">
        <v>30</v>
      </c>
      <c r="G6" s="18" t="s">
        <v>63</v>
      </c>
      <c r="H6" s="18">
        <f>C6*E6</f>
        <v>2154.183</v>
      </c>
      <c r="I6" s="18" t="s">
        <v>28</v>
      </c>
      <c r="J6" s="17"/>
      <c r="K6" s="17"/>
    </row>
    <row r="7" spans="1:11" ht="40.049999999999997" customHeight="1" x14ac:dyDescent="0.35">
      <c r="A7" s="28"/>
      <c r="B7" s="17" t="s">
        <v>29</v>
      </c>
      <c r="C7" s="17">
        <v>1.0999999999999999E-2</v>
      </c>
      <c r="D7" s="17" t="s">
        <v>54</v>
      </c>
      <c r="E7" s="17">
        <f>E5</f>
        <v>718061</v>
      </c>
      <c r="F7" s="17" t="s">
        <v>30</v>
      </c>
      <c r="G7" s="18" t="s">
        <v>64</v>
      </c>
      <c r="H7" s="18">
        <f t="shared" ref="H7:H8" si="0">C7*E7</f>
        <v>7898.6709999999994</v>
      </c>
      <c r="I7" s="18" t="s">
        <v>28</v>
      </c>
      <c r="J7" s="17"/>
      <c r="K7" s="17"/>
    </row>
    <row r="8" spans="1:11" ht="40.049999999999997" customHeight="1" x14ac:dyDescent="0.35">
      <c r="A8" s="28"/>
      <c r="B8" s="17" t="s">
        <v>49</v>
      </c>
      <c r="C8" s="17">
        <v>3.0000000000000001E-3</v>
      </c>
      <c r="D8" s="17" t="s">
        <v>54</v>
      </c>
      <c r="E8" s="17">
        <f>E5</f>
        <v>718061</v>
      </c>
      <c r="F8" s="17" t="s">
        <v>30</v>
      </c>
      <c r="G8" s="18" t="s">
        <v>65</v>
      </c>
      <c r="H8" s="18">
        <f t="shared" si="0"/>
        <v>2154.183</v>
      </c>
      <c r="I8" s="18" t="s">
        <v>28</v>
      </c>
      <c r="J8" s="17"/>
      <c r="K8" s="17"/>
    </row>
    <row r="9" spans="1:11" ht="51" customHeight="1" x14ac:dyDescent="0.35">
      <c r="A9" s="21" t="s">
        <v>77</v>
      </c>
      <c r="B9" s="17" t="s">
        <v>46</v>
      </c>
      <c r="C9" s="17">
        <v>0.6</v>
      </c>
      <c r="D9" s="17" t="s">
        <v>55</v>
      </c>
      <c r="E9" s="17">
        <v>207527</v>
      </c>
      <c r="F9" s="17" t="s">
        <v>30</v>
      </c>
      <c r="G9" s="18" t="s">
        <v>66</v>
      </c>
      <c r="H9" s="18">
        <f>(E9)*C9</f>
        <v>124516.2</v>
      </c>
      <c r="I9" s="18" t="s">
        <v>28</v>
      </c>
      <c r="J9" s="17"/>
      <c r="K9" s="17"/>
    </row>
    <row r="10" spans="1:11" ht="40.049999999999997" customHeight="1" x14ac:dyDescent="0.35">
      <c r="A10" s="21" t="s">
        <v>31</v>
      </c>
      <c r="B10" s="17" t="s">
        <v>35</v>
      </c>
      <c r="C10" s="17">
        <v>0.3</v>
      </c>
      <c r="D10" s="17" t="s">
        <v>78</v>
      </c>
      <c r="E10" s="17">
        <v>400165</v>
      </c>
      <c r="F10" s="17" t="s">
        <v>30</v>
      </c>
      <c r="G10" s="18" t="s">
        <v>67</v>
      </c>
      <c r="H10" s="18">
        <f>(K1-E10)*C10</f>
        <v>509950.5</v>
      </c>
      <c r="I10" s="18" t="s">
        <v>28</v>
      </c>
      <c r="J10" s="17"/>
      <c r="K10" s="17"/>
    </row>
    <row r="11" spans="1:11" ht="40.049999999999997" customHeight="1" x14ac:dyDescent="0.35">
      <c r="A11" s="21" t="s">
        <v>68</v>
      </c>
      <c r="B11" s="17" t="s">
        <v>47</v>
      </c>
      <c r="C11" s="17">
        <v>1</v>
      </c>
      <c r="D11" s="17" t="s">
        <v>33</v>
      </c>
      <c r="E11" s="17">
        <v>508297</v>
      </c>
      <c r="F11" s="17" t="s">
        <v>30</v>
      </c>
      <c r="G11" s="18" t="s">
        <v>69</v>
      </c>
      <c r="H11" s="18">
        <f>E11*C11</f>
        <v>508297</v>
      </c>
      <c r="I11" s="18" t="s">
        <v>28</v>
      </c>
      <c r="J11" s="17"/>
      <c r="K11" s="17"/>
    </row>
    <row r="12" spans="1:11" ht="40.049999999999997" customHeight="1" x14ac:dyDescent="0.35">
      <c r="A12" s="21" t="s">
        <v>34</v>
      </c>
      <c r="B12" s="17" t="s">
        <v>35</v>
      </c>
      <c r="C12" s="17">
        <v>1.5</v>
      </c>
      <c r="D12" s="17" t="s">
        <v>78</v>
      </c>
      <c r="E12" s="17">
        <v>177271</v>
      </c>
      <c r="F12" s="17" t="s">
        <v>30</v>
      </c>
      <c r="G12" s="18" t="s">
        <v>67</v>
      </c>
      <c r="H12" s="18">
        <f>(K1-E12)*C12</f>
        <v>2884093.5</v>
      </c>
      <c r="I12" s="18" t="s">
        <v>28</v>
      </c>
      <c r="J12" s="17"/>
      <c r="K12" s="17"/>
    </row>
    <row r="13" spans="1:11" ht="40.049999999999997" customHeight="1" x14ac:dyDescent="0.35">
      <c r="A13" s="21" t="s">
        <v>70</v>
      </c>
      <c r="B13" s="17" t="s">
        <v>47</v>
      </c>
      <c r="C13" s="17">
        <v>4</v>
      </c>
      <c r="D13" s="17" t="s">
        <v>33</v>
      </c>
      <c r="E13" s="17">
        <v>1657200</v>
      </c>
      <c r="F13" s="17" t="s">
        <v>30</v>
      </c>
      <c r="G13" s="18" t="s">
        <v>69</v>
      </c>
      <c r="H13" s="18">
        <f>E13/C13</f>
        <v>414300</v>
      </c>
      <c r="I13" s="18" t="s">
        <v>28</v>
      </c>
      <c r="J13" s="17"/>
      <c r="K13" s="17"/>
    </row>
    <row r="14" spans="1:11" ht="40.049999999999997" customHeight="1" x14ac:dyDescent="0.35">
      <c r="A14" s="28" t="s">
        <v>71</v>
      </c>
      <c r="B14" s="17" t="s">
        <v>35</v>
      </c>
      <c r="C14" s="17">
        <v>0.5</v>
      </c>
      <c r="D14" s="17" t="s">
        <v>78</v>
      </c>
      <c r="E14" s="17">
        <v>360204</v>
      </c>
      <c r="F14" s="17" t="s">
        <v>30</v>
      </c>
      <c r="G14" s="18" t="s">
        <v>67</v>
      </c>
      <c r="H14" s="18">
        <f>(K1-E14)*C14</f>
        <v>869898</v>
      </c>
      <c r="I14" s="18" t="s">
        <v>28</v>
      </c>
      <c r="J14" s="17"/>
      <c r="K14" s="17"/>
    </row>
    <row r="15" spans="1:11" ht="40.049999999999997" customHeight="1" x14ac:dyDescent="0.35">
      <c r="A15" s="28"/>
      <c r="B15" s="17" t="s">
        <v>29</v>
      </c>
      <c r="C15" s="17">
        <v>0.6</v>
      </c>
      <c r="D15" s="17" t="s">
        <v>78</v>
      </c>
      <c r="E15" s="17">
        <f>E14</f>
        <v>360204</v>
      </c>
      <c r="F15" s="17" t="s">
        <v>30</v>
      </c>
      <c r="G15" s="18" t="s">
        <v>64</v>
      </c>
      <c r="H15" s="18">
        <f>(K1-E15)*C15</f>
        <v>1043877.6</v>
      </c>
      <c r="I15" s="18" t="s">
        <v>28</v>
      </c>
      <c r="J15" s="17"/>
      <c r="K15" s="17"/>
    </row>
    <row r="16" spans="1:11" ht="40.049999999999997" customHeight="1" x14ac:dyDescent="0.35">
      <c r="A16" s="21" t="s">
        <v>79</v>
      </c>
      <c r="B16" s="17" t="s">
        <v>50</v>
      </c>
      <c r="C16" s="17">
        <v>4</v>
      </c>
      <c r="D16" s="17" t="s">
        <v>80</v>
      </c>
      <c r="E16" s="17">
        <v>166875</v>
      </c>
      <c r="F16" s="17" t="s">
        <v>30</v>
      </c>
      <c r="G16" s="18" t="s">
        <v>81</v>
      </c>
      <c r="H16" s="18">
        <f>(K1-E16)*C16</f>
        <v>7732500</v>
      </c>
      <c r="I16" s="18" t="s">
        <v>28</v>
      </c>
      <c r="J16" s="17"/>
      <c r="K16" s="17"/>
    </row>
    <row r="17" spans="1:11" ht="40.049999999999997" customHeight="1" x14ac:dyDescent="0.35">
      <c r="A17" s="28" t="s">
        <v>36</v>
      </c>
      <c r="B17" s="17" t="s">
        <v>37</v>
      </c>
      <c r="C17" s="17">
        <v>0.32</v>
      </c>
      <c r="D17" s="17" t="s">
        <v>38</v>
      </c>
      <c r="E17" s="17">
        <v>198091</v>
      </c>
      <c r="F17" s="17" t="s">
        <v>30</v>
      </c>
      <c r="G17" s="18" t="s">
        <v>72</v>
      </c>
      <c r="H17" s="18">
        <f>E17*C17</f>
        <v>63389.120000000003</v>
      </c>
      <c r="I17" s="18" t="s">
        <v>28</v>
      </c>
      <c r="J17" s="17"/>
      <c r="K17" s="17"/>
    </row>
    <row r="18" spans="1:11" ht="40.049999999999997" customHeight="1" x14ac:dyDescent="0.35">
      <c r="A18" s="28"/>
      <c r="B18" s="17" t="s">
        <v>39</v>
      </c>
      <c r="C18" s="17">
        <v>0.08</v>
      </c>
      <c r="D18" s="17" t="s">
        <v>41</v>
      </c>
      <c r="E18" s="17">
        <f>E17</f>
        <v>198091</v>
      </c>
      <c r="F18" s="17" t="s">
        <v>30</v>
      </c>
      <c r="G18" s="18" t="s">
        <v>73</v>
      </c>
      <c r="H18" s="18">
        <f>E18*C18</f>
        <v>15847.28</v>
      </c>
      <c r="I18" s="18" t="s">
        <v>28</v>
      </c>
      <c r="J18" s="17"/>
      <c r="K18" s="17"/>
    </row>
    <row r="19" spans="1:11" ht="40.049999999999997" customHeight="1" x14ac:dyDescent="0.35">
      <c r="A19" s="28"/>
      <c r="B19" s="17" t="s">
        <v>40</v>
      </c>
      <c r="C19" s="17">
        <v>3</v>
      </c>
      <c r="D19" s="17" t="s">
        <v>42</v>
      </c>
      <c r="E19" s="17">
        <f>E17</f>
        <v>198091</v>
      </c>
      <c r="F19" s="17" t="s">
        <v>30</v>
      </c>
      <c r="G19" s="18" t="s">
        <v>73</v>
      </c>
      <c r="H19" s="18">
        <f>E19*C19</f>
        <v>594273</v>
      </c>
      <c r="I19" s="18" t="s">
        <v>28</v>
      </c>
      <c r="J19" s="17"/>
      <c r="K19" s="17"/>
    </row>
    <row r="20" spans="1:11" ht="40.049999999999997" customHeight="1" x14ac:dyDescent="0.35">
      <c r="A20" s="21" t="s">
        <v>43</v>
      </c>
      <c r="B20" s="17" t="s">
        <v>43</v>
      </c>
      <c r="C20" s="17">
        <v>4</v>
      </c>
      <c r="D20" s="17" t="s">
        <v>44</v>
      </c>
      <c r="E20" s="17">
        <v>149950</v>
      </c>
      <c r="F20" s="17" t="s">
        <v>30</v>
      </c>
      <c r="G20" s="18" t="s">
        <v>74</v>
      </c>
      <c r="H20" s="18">
        <f>E20*C20</f>
        <v>599800</v>
      </c>
      <c r="I20" s="18" t="s">
        <v>28</v>
      </c>
      <c r="J20" s="17"/>
      <c r="K20" s="17"/>
    </row>
  </sheetData>
  <mergeCells count="5">
    <mergeCell ref="D1:F1"/>
    <mergeCell ref="G1:I1"/>
    <mergeCell ref="A6:A8"/>
    <mergeCell ref="A14:A15"/>
    <mergeCell ref="A17:A19"/>
  </mergeCells>
  <phoneticPr fontId="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B4482-72BF-43AE-8043-2C05F66E8542}">
  <dimension ref="A1:O30"/>
  <sheetViews>
    <sheetView workbookViewId="0">
      <selection activeCell="B7" sqref="B7:D7"/>
    </sheetView>
  </sheetViews>
  <sheetFormatPr defaultRowHeight="12.75" x14ac:dyDescent="0.35"/>
  <cols>
    <col min="2" max="2" width="12.33203125" style="1" customWidth="1"/>
    <col min="3" max="4" width="12.33203125" style="5" customWidth="1"/>
  </cols>
  <sheetData>
    <row r="1" spans="1:4" s="4" customFormat="1" x14ac:dyDescent="0.35">
      <c r="B1" s="2" t="s">
        <v>15</v>
      </c>
      <c r="C1" s="3"/>
      <c r="D1" s="3"/>
    </row>
    <row r="2" spans="1:4" x14ac:dyDescent="0.35">
      <c r="C2" s="5" t="s">
        <v>13</v>
      </c>
      <c r="D2" s="5" t="s">
        <v>14</v>
      </c>
    </row>
    <row r="3" spans="1:4" x14ac:dyDescent="0.35">
      <c r="A3">
        <v>1</v>
      </c>
      <c r="B3" s="1" t="s">
        <v>0</v>
      </c>
      <c r="C3" s="5">
        <v>700</v>
      </c>
      <c r="D3" s="5">
        <v>1600</v>
      </c>
    </row>
    <row r="4" spans="1:4" x14ac:dyDescent="0.35">
      <c r="A4">
        <v>2</v>
      </c>
      <c r="B4" s="1" t="s">
        <v>1</v>
      </c>
      <c r="C4" s="5">
        <v>700</v>
      </c>
      <c r="D4" s="5">
        <v>1600</v>
      </c>
    </row>
    <row r="5" spans="1:4" x14ac:dyDescent="0.35">
      <c r="A5" s="7">
        <v>3</v>
      </c>
      <c r="B5" s="1" t="s">
        <v>2</v>
      </c>
      <c r="C5" s="5">
        <v>1000</v>
      </c>
      <c r="D5" s="5">
        <v>1800</v>
      </c>
    </row>
    <row r="6" spans="1:4" x14ac:dyDescent="0.35">
      <c r="A6" s="7">
        <v>4</v>
      </c>
      <c r="B6" s="1" t="s">
        <v>3</v>
      </c>
      <c r="C6" s="5">
        <v>1000</v>
      </c>
      <c r="D6" s="5">
        <v>1800</v>
      </c>
    </row>
    <row r="7" spans="1:4" x14ac:dyDescent="0.35">
      <c r="A7" s="7">
        <v>5</v>
      </c>
      <c r="B7" s="1" t="s">
        <v>4</v>
      </c>
      <c r="C7" s="5">
        <v>1000</v>
      </c>
      <c r="D7" s="5">
        <v>1800</v>
      </c>
    </row>
    <row r="8" spans="1:4" x14ac:dyDescent="0.35">
      <c r="A8" s="7">
        <v>6</v>
      </c>
      <c r="B8" s="1" t="s">
        <v>5</v>
      </c>
      <c r="C8" s="5">
        <v>1000</v>
      </c>
      <c r="D8" s="5">
        <v>2000</v>
      </c>
    </row>
    <row r="9" spans="1:4" x14ac:dyDescent="0.35">
      <c r="A9" s="7">
        <v>7</v>
      </c>
      <c r="B9" s="1" t="s">
        <v>6</v>
      </c>
      <c r="C9" s="5">
        <v>820</v>
      </c>
      <c r="D9" s="5">
        <v>1800</v>
      </c>
    </row>
    <row r="10" spans="1:4" x14ac:dyDescent="0.35">
      <c r="A10" s="7">
        <v>8</v>
      </c>
      <c r="B10" s="1" t="s">
        <v>7</v>
      </c>
      <c r="C10" s="5">
        <v>820</v>
      </c>
      <c r="D10" s="5">
        <v>1800</v>
      </c>
    </row>
    <row r="11" spans="1:4" x14ac:dyDescent="0.35">
      <c r="A11" s="7">
        <v>9</v>
      </c>
      <c r="B11" s="1" t="s">
        <v>8</v>
      </c>
      <c r="C11" s="5">
        <v>820</v>
      </c>
      <c r="D11" s="5">
        <v>1800</v>
      </c>
    </row>
    <row r="12" spans="1:4" x14ac:dyDescent="0.35">
      <c r="A12" s="7">
        <v>10</v>
      </c>
      <c r="B12" s="1" t="s">
        <v>9</v>
      </c>
      <c r="C12" s="5">
        <v>820</v>
      </c>
      <c r="D12" s="5">
        <v>1800</v>
      </c>
    </row>
    <row r="13" spans="1:4" x14ac:dyDescent="0.35">
      <c r="A13" s="7">
        <v>11</v>
      </c>
      <c r="B13" s="1" t="s">
        <v>10</v>
      </c>
      <c r="C13" s="5">
        <v>820</v>
      </c>
      <c r="D13" s="5">
        <v>1800</v>
      </c>
    </row>
    <row r="14" spans="1:4" x14ac:dyDescent="0.35">
      <c r="A14" s="7">
        <v>12</v>
      </c>
      <c r="B14" s="1" t="s">
        <v>11</v>
      </c>
      <c r="C14" s="5">
        <v>820</v>
      </c>
      <c r="D14" s="5">
        <v>1800</v>
      </c>
    </row>
    <row r="15" spans="1:4" x14ac:dyDescent="0.35">
      <c r="A15" s="7">
        <v>13</v>
      </c>
      <c r="B15" s="1" t="s">
        <v>12</v>
      </c>
      <c r="C15" s="5">
        <v>1500</v>
      </c>
      <c r="D15" s="5">
        <v>1800</v>
      </c>
    </row>
    <row r="16" spans="1:4" x14ac:dyDescent="0.35">
      <c r="A16" s="7">
        <v>14</v>
      </c>
      <c r="B16" s="1" t="s">
        <v>24</v>
      </c>
      <c r="C16" s="5">
        <v>850</v>
      </c>
      <c r="D16" s="5">
        <v>1400</v>
      </c>
    </row>
    <row r="17" spans="1:15" x14ac:dyDescent="0.35">
      <c r="A17" s="7">
        <v>15</v>
      </c>
      <c r="B17" s="1" t="s">
        <v>25</v>
      </c>
      <c r="C17" s="5">
        <v>1200</v>
      </c>
      <c r="D17" s="5">
        <v>1300</v>
      </c>
    </row>
    <row r="18" spans="1:15" x14ac:dyDescent="0.35">
      <c r="A18" s="7">
        <v>16</v>
      </c>
      <c r="B18" s="1" t="s">
        <v>26</v>
      </c>
      <c r="C18" s="5">
        <v>1500</v>
      </c>
      <c r="D18" s="5">
        <v>1400</v>
      </c>
    </row>
    <row r="20" spans="1:15" x14ac:dyDescent="0.35">
      <c r="A20">
        <v>1</v>
      </c>
      <c r="B20" s="3" t="s">
        <v>17</v>
      </c>
      <c r="C20" s="3"/>
      <c r="D20" s="3"/>
    </row>
    <row r="22" spans="1:15" x14ac:dyDescent="0.35">
      <c r="O22" t="s">
        <v>27</v>
      </c>
    </row>
    <row r="23" spans="1:15" x14ac:dyDescent="0.35">
      <c r="B23" s="1" t="s">
        <v>16</v>
      </c>
    </row>
    <row r="24" spans="1:15" ht="38.25" x14ac:dyDescent="0.35">
      <c r="A24">
        <v>1</v>
      </c>
      <c r="B24" s="6" t="s">
        <v>19</v>
      </c>
      <c r="C24" s="3"/>
      <c r="D24" s="3"/>
    </row>
    <row r="26" spans="1:15" x14ac:dyDescent="0.35">
      <c r="B26" s="1" t="s">
        <v>18</v>
      </c>
    </row>
    <row r="27" spans="1:15" ht="22.25" customHeight="1" x14ac:dyDescent="0.35">
      <c r="A27">
        <v>1</v>
      </c>
      <c r="B27" s="6" t="s">
        <v>20</v>
      </c>
      <c r="C27" s="3"/>
      <c r="D27" s="3"/>
    </row>
    <row r="28" spans="1:15" x14ac:dyDescent="0.35">
      <c r="A28">
        <v>2</v>
      </c>
      <c r="B28" s="6" t="s">
        <v>21</v>
      </c>
      <c r="C28" s="3"/>
      <c r="D28" s="3"/>
    </row>
    <row r="29" spans="1:15" x14ac:dyDescent="0.35">
      <c r="A29">
        <v>3</v>
      </c>
      <c r="B29" s="9" t="s">
        <v>22</v>
      </c>
      <c r="C29" s="8"/>
      <c r="D29" s="8"/>
    </row>
    <row r="30" spans="1:15" x14ac:dyDescent="0.35">
      <c r="A30">
        <v>4</v>
      </c>
      <c r="B30" s="8" t="s">
        <v>23</v>
      </c>
      <c r="C30" s="8"/>
      <c r="D30" s="8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G26-DB13 </vt:lpstr>
      <vt:lpstr>G26-DB03</vt:lpstr>
      <vt:lpstr>DB2-5 </vt:lpstr>
      <vt:lpstr>DB1-1 </vt:lpstr>
      <vt:lpstr>DB2-1</vt:lpstr>
      <vt:lpstr>DB2-2</vt:lpstr>
      <vt:lpstr>DB2-3</vt:lpstr>
      <vt:lpstr>DB2-4</vt:lpstr>
      <vt:lpstr>DB4-1</vt:lpstr>
      <vt:lpstr>DB5-1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Xuefei Li</dc:creator>
  <cp:keywords/>
  <dc:description/>
  <cp:lastModifiedBy>SN0451(张千一)</cp:lastModifiedBy>
  <dcterms:created xsi:type="dcterms:W3CDTF">2025-01-24T08:02:31Z</dcterms:created>
  <dcterms:modified xsi:type="dcterms:W3CDTF">2026-03-12T10:54:23Z</dcterms:modified>
  <cp:category/>
  <cp:contentStatus/>
</cp:coreProperties>
</file>